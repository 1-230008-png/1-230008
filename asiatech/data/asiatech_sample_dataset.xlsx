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tudent_academic_year" sheetId="2" state="visible" r:id="rId4"/>
    <sheet name="violations" sheetId="3" state="visible" r:id="rId5"/>
    <sheet name="summary" sheetId="4" state="visible" r:id="rId6"/>
  </sheets>
  <definedNames>
    <definedName function="false" hidden="true" localSheetId="1" name="_xlnm._FilterDatabase" vbProcedure="false">student_academic_year!$A$1:$M$661</definedName>
    <definedName function="false" hidden="true" localSheetId="2" name="_xlnm._FilterDatabase" vbProcedure="false">violations!$A$1:$I$624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<sst xmlns="http://schemas.openxmlformats.org/spreadsheetml/2006/main" count="11632" uniqueCount="1713">
  <si>
    <t xml:space="preserve">ASIATECH Predictive Disciplinary Risk System — SAMPLE DATASET</t>
  </si>
  <si>
    <t xml:space="preserve">IMPORTANT: All records are SYNTHETIC (randomly generated) for system testing and demo only. They are NOT real ASIATECH data.</t>
  </si>
  <si>
    <t xml:space="preserve">Replace with OSA/DPO-approved, coded (pseudonymized) records before reporting any model results (see Thesis Appendix D).</t>
  </si>
  <si>
    <t xml:space="preserve">Sheets</t>
  </si>
  <si>
    <t xml:space="preserve">student_academic_year — model dataset: one row per student-academic-year (unit of analysis), 7 pre-index features + follow-up outcome.</t>
  </si>
  <si>
    <t xml:space="preserve">violations — violation log (source for the features and the follow-up labels).</t>
  </si>
  <si>
    <t xml:space="preserve">summary — class distribution per academic year (formulas).</t>
  </si>
  <si>
    <t xml:space="preserve">Assumptions</t>
  </si>
  <si>
    <t xml:space="preserve">Index date = last day of the academic year (May 31). Follow-up window = the next academic year.</t>
  </si>
  <si>
    <t xml:space="preserve">Label rule (formula in risk_label): 0 follow-up violations = Low, 1 = Medium, 2 or more = High.</t>
  </si>
  <si>
    <t xml:space="preserve">AY 2025-2026 records have no observable follow-up year, so followup_violations and risk_label are blank (use for operational prediction only).</t>
  </si>
  <si>
    <t xml:space="preserve">Students who are not enrolled in the next academic year (graduated/left) are also left unlabeled.</t>
  </si>
  <si>
    <t xml:space="preserve">Violations exist only from 2023-06-01, so "prior" features for AY 2023-2024 use that year only.</t>
  </si>
  <si>
    <t xml:space="preserve">Department names (Dept A–D) and violation categories are placeholders; replace with the registrar-confirmed groups and Student Handbook categories.</t>
  </si>
  <si>
    <t xml:space="preserve">Features use only records dated on or before the index date (no target leakage). Sanction compliance = status of the most recent prior violation.</t>
  </si>
  <si>
    <t xml:space="preserve">record_id</t>
  </si>
  <si>
    <t xml:space="preserve">study_id</t>
  </si>
  <si>
    <t xml:space="preserve">academic_year</t>
  </si>
  <si>
    <t xml:space="preserve">index_date</t>
  </si>
  <si>
    <t xml:space="preserve">prior_violation_count</t>
  </si>
  <si>
    <t xml:space="preserve">violation_type</t>
  </si>
  <si>
    <t xml:space="preserve">recency</t>
  </si>
  <si>
    <t xml:space="preserve">year_level</t>
  </si>
  <si>
    <t xml:space="preserve">department</t>
  </si>
  <si>
    <t xml:space="preserve">violation_interval</t>
  </si>
  <si>
    <t xml:space="preserve">sanction_compliance</t>
  </si>
  <si>
    <t xml:space="preserve">followup_violations</t>
  </si>
  <si>
    <t xml:space="preserve">risk_label</t>
  </si>
  <si>
    <t xml:space="preserve">R-0001</t>
  </si>
  <si>
    <t xml:space="preserve">S-0001</t>
  </si>
  <si>
    <t xml:space="preserve">2023-2024</t>
  </si>
  <si>
    <t xml:space="preserve">1</t>
  </si>
  <si>
    <t xml:space="preserve">Minor Only</t>
  </si>
  <si>
    <t xml:space="preserve">&gt;180</t>
  </si>
  <si>
    <t xml:space="preserve">1st</t>
  </si>
  <si>
    <t xml:space="preserve">Dept A</t>
  </si>
  <si>
    <t xml:space="preserve">Not Applicable</t>
  </si>
  <si>
    <t xml:space="preserve">Non-compliance</t>
  </si>
  <si>
    <t xml:space="preserve">R-0002</t>
  </si>
  <si>
    <t xml:space="preserve">2024-2025</t>
  </si>
  <si>
    <t xml:space="preserve">4+</t>
  </si>
  <si>
    <t xml:space="preserve">Mixed</t>
  </si>
  <si>
    <t xml:space="preserve">91–180</t>
  </si>
  <si>
    <t xml:space="preserve">2nd</t>
  </si>
  <si>
    <t xml:space="preserve">&gt;90 days</t>
  </si>
  <si>
    <t xml:space="preserve">Full</t>
  </si>
  <si>
    <t xml:space="preserve">R-0003</t>
  </si>
  <si>
    <t xml:space="preserve">2025-2026</t>
  </si>
  <si>
    <t xml:space="preserve">31–90</t>
  </si>
  <si>
    <t xml:space="preserve">3rd</t>
  </si>
  <si>
    <t xml:space="preserve">R-0004</t>
  </si>
  <si>
    <t xml:space="preserve">S-0002</t>
  </si>
  <si>
    <t xml:space="preserve">4th</t>
  </si>
  <si>
    <t xml:space="preserve">Dept D</t>
  </si>
  <si>
    <t xml:space="preserve">R-0005</t>
  </si>
  <si>
    <t xml:space="preserve">S-0003</t>
  </si>
  <si>
    <t xml:space="preserve">Major Only</t>
  </si>
  <si>
    <t xml:space="preserve">Partial</t>
  </si>
  <si>
    <t xml:space="preserve">R-0006</t>
  </si>
  <si>
    <t xml:space="preserve">S-0004</t>
  </si>
  <si>
    <t xml:space="preserve">2–3</t>
  </si>
  <si>
    <t xml:space="preserve">R-0007</t>
  </si>
  <si>
    <t xml:space="preserve">R-0008</t>
  </si>
  <si>
    <t xml:space="preserve">S-0005</t>
  </si>
  <si>
    <t xml:space="preserve">0</t>
  </si>
  <si>
    <t xml:space="preserve">No prior violation</t>
  </si>
  <si>
    <t xml:space="preserve">Dept C</t>
  </si>
  <si>
    <t xml:space="preserve">No sanction</t>
  </si>
  <si>
    <t xml:space="preserve">R-0009</t>
  </si>
  <si>
    <t xml:space="preserve">R-0010</t>
  </si>
  <si>
    <t xml:space="preserve">R-0011</t>
  </si>
  <si>
    <t xml:space="preserve">S-0006</t>
  </si>
  <si>
    <t xml:space="preserve">R-0012</t>
  </si>
  <si>
    <t xml:space="preserve">R-0013</t>
  </si>
  <si>
    <t xml:space="preserve">R-0014</t>
  </si>
  <si>
    <t xml:space="preserve">S-0007</t>
  </si>
  <si>
    <t xml:space="preserve">R-0015</t>
  </si>
  <si>
    <t xml:space="preserve">R-0016</t>
  </si>
  <si>
    <t xml:space="preserve">S-0008</t>
  </si>
  <si>
    <t xml:space="preserve">30–90</t>
  </si>
  <si>
    <t xml:space="preserve">R-0017</t>
  </si>
  <si>
    <t xml:space="preserve">R-0018</t>
  </si>
  <si>
    <t xml:space="preserve">R-0019</t>
  </si>
  <si>
    <t xml:space="preserve">S-0009</t>
  </si>
  <si>
    <t xml:space="preserve">R-0020</t>
  </si>
  <si>
    <t xml:space="preserve">S-0010</t>
  </si>
  <si>
    <t xml:space="preserve">Dept B</t>
  </si>
  <si>
    <t xml:space="preserve">R-0021</t>
  </si>
  <si>
    <t xml:space="preserve">S-0011</t>
  </si>
  <si>
    <t xml:space="preserve">R-0022</t>
  </si>
  <si>
    <t xml:space="preserve">R-0023</t>
  </si>
  <si>
    <t xml:space="preserve">R-0024</t>
  </si>
  <si>
    <t xml:space="preserve">S-0012</t>
  </si>
  <si>
    <t xml:space="preserve">R-0025</t>
  </si>
  <si>
    <t xml:space="preserve">R-0026</t>
  </si>
  <si>
    <t xml:space="preserve">R-0027</t>
  </si>
  <si>
    <t xml:space="preserve">S-0013</t>
  </si>
  <si>
    <t xml:space="preserve">R-0028</t>
  </si>
  <si>
    <t xml:space="preserve">S-0014</t>
  </si>
  <si>
    <t xml:space="preserve">R-0029</t>
  </si>
  <si>
    <t xml:space="preserve">S-0015</t>
  </si>
  <si>
    <t xml:space="preserve">R-0030</t>
  </si>
  <si>
    <t xml:space="preserve">S-0016</t>
  </si>
  <si>
    <t xml:space="preserve">R-0031</t>
  </si>
  <si>
    <t xml:space="preserve">R-0032</t>
  </si>
  <si>
    <t xml:space="preserve">R-0033</t>
  </si>
  <si>
    <t xml:space="preserve">S-0017</t>
  </si>
  <si>
    <t xml:space="preserve">R-0034</t>
  </si>
  <si>
    <t xml:space="preserve">R-0035</t>
  </si>
  <si>
    <t xml:space="preserve">S-0018</t>
  </si>
  <si>
    <t xml:space="preserve">≤30 days</t>
  </si>
  <si>
    <t xml:space="preserve">R-0036</t>
  </si>
  <si>
    <t xml:space="preserve">S-0019</t>
  </si>
  <si>
    <t xml:space="preserve">R-0037</t>
  </si>
  <si>
    <t xml:space="preserve">R-0038</t>
  </si>
  <si>
    <t xml:space="preserve">S-0020</t>
  </si>
  <si>
    <t xml:space="preserve">R-0039</t>
  </si>
  <si>
    <t xml:space="preserve">R-0040</t>
  </si>
  <si>
    <t xml:space="preserve">S-0021</t>
  </si>
  <si>
    <t xml:space="preserve">R-0041</t>
  </si>
  <si>
    <t xml:space="preserve">S-0022</t>
  </si>
  <si>
    <t xml:space="preserve">R-0042</t>
  </si>
  <si>
    <t xml:space="preserve">R-0043</t>
  </si>
  <si>
    <t xml:space="preserve">S-0023</t>
  </si>
  <si>
    <t xml:space="preserve">R-0044</t>
  </si>
  <si>
    <t xml:space="preserve">R-0045</t>
  </si>
  <si>
    <t xml:space="preserve">R-0046</t>
  </si>
  <si>
    <t xml:space="preserve">S-0024</t>
  </si>
  <si>
    <t xml:space="preserve">R-0047</t>
  </si>
  <si>
    <t xml:space="preserve">R-0048</t>
  </si>
  <si>
    <t xml:space="preserve">R-0049</t>
  </si>
  <si>
    <t xml:space="preserve">S-0025</t>
  </si>
  <si>
    <t xml:space="preserve">R-0050</t>
  </si>
  <si>
    <t xml:space="preserve">R-0051</t>
  </si>
  <si>
    <t xml:space="preserve">R-0052</t>
  </si>
  <si>
    <t xml:space="preserve">S-0026</t>
  </si>
  <si>
    <t xml:space="preserve">R-0053</t>
  </si>
  <si>
    <t xml:space="preserve">R-0054</t>
  </si>
  <si>
    <t xml:space="preserve">R-0055</t>
  </si>
  <si>
    <t xml:space="preserve">S-0027</t>
  </si>
  <si>
    <t xml:space="preserve">R-0056</t>
  </si>
  <si>
    <t xml:space="preserve">R-0057</t>
  </si>
  <si>
    <t xml:space="preserve">R-0058</t>
  </si>
  <si>
    <t xml:space="preserve">S-0028</t>
  </si>
  <si>
    <t xml:space="preserve">R-0059</t>
  </si>
  <si>
    <t xml:space="preserve">R-0060</t>
  </si>
  <si>
    <t xml:space="preserve">R-0061</t>
  </si>
  <si>
    <t xml:space="preserve">S-0029</t>
  </si>
  <si>
    <t xml:space="preserve">R-0062</t>
  </si>
  <si>
    <t xml:space="preserve">R-0063</t>
  </si>
  <si>
    <t xml:space="preserve">R-0064</t>
  </si>
  <si>
    <t xml:space="preserve">S-0030</t>
  </si>
  <si>
    <t xml:space="preserve">R-0065</t>
  </si>
  <si>
    <t xml:space="preserve">R-0066</t>
  </si>
  <si>
    <t xml:space="preserve">R-0067</t>
  </si>
  <si>
    <t xml:space="preserve">S-0031</t>
  </si>
  <si>
    <t xml:space="preserve">R-0068</t>
  </si>
  <si>
    <t xml:space="preserve">S-0032</t>
  </si>
  <si>
    <t xml:space="preserve">R-0069</t>
  </si>
  <si>
    <t xml:space="preserve">R-0070</t>
  </si>
  <si>
    <t xml:space="preserve">R-0071</t>
  </si>
  <si>
    <t xml:space="preserve">S-0033</t>
  </si>
  <si>
    <t xml:space="preserve">R-0072</t>
  </si>
  <si>
    <t xml:space="preserve">S-0034</t>
  </si>
  <si>
    <t xml:space="preserve">R-0073</t>
  </si>
  <si>
    <t xml:space="preserve">R-0074</t>
  </si>
  <si>
    <t xml:space="preserve">R-0075</t>
  </si>
  <si>
    <t xml:space="preserve">S-0035</t>
  </si>
  <si>
    <t xml:space="preserve">R-0076</t>
  </si>
  <si>
    <t xml:space="preserve">R-0077</t>
  </si>
  <si>
    <t xml:space="preserve">R-0078</t>
  </si>
  <si>
    <t xml:space="preserve">S-0036</t>
  </si>
  <si>
    <t xml:space="preserve">R-0079</t>
  </si>
  <si>
    <t xml:space="preserve">S-0037</t>
  </si>
  <si>
    <t xml:space="preserve">R-0080</t>
  </si>
  <si>
    <t xml:space="preserve">S-0038</t>
  </si>
  <si>
    <t xml:space="preserve">R-0081</t>
  </si>
  <si>
    <t xml:space="preserve">S-0039</t>
  </si>
  <si>
    <t xml:space="preserve">R-0082</t>
  </si>
  <si>
    <t xml:space="preserve">R-0083</t>
  </si>
  <si>
    <t xml:space="preserve">S-0040</t>
  </si>
  <si>
    <t xml:space="preserve">R-0084</t>
  </si>
  <si>
    <t xml:space="preserve">S-0041</t>
  </si>
  <si>
    <t xml:space="preserve">R-0085</t>
  </si>
  <si>
    <t xml:space="preserve">R-0086</t>
  </si>
  <si>
    <t xml:space="preserve">R-0087</t>
  </si>
  <si>
    <t xml:space="preserve">S-0042</t>
  </si>
  <si>
    <t xml:space="preserve">R-0088</t>
  </si>
  <si>
    <t xml:space="preserve">R-0089</t>
  </si>
  <si>
    <t xml:space="preserve">R-0090</t>
  </si>
  <si>
    <t xml:space="preserve">S-0043</t>
  </si>
  <si>
    <t xml:space="preserve">R-0091</t>
  </si>
  <si>
    <t xml:space="preserve">R-0092</t>
  </si>
  <si>
    <t xml:space="preserve">R-0093</t>
  </si>
  <si>
    <t xml:space="preserve">S-0044</t>
  </si>
  <si>
    <t xml:space="preserve">R-0094</t>
  </si>
  <si>
    <t xml:space="preserve">R-0095</t>
  </si>
  <si>
    <t xml:space="preserve">R-0096</t>
  </si>
  <si>
    <t xml:space="preserve">S-0045</t>
  </si>
  <si>
    <t xml:space="preserve">R-0097</t>
  </si>
  <si>
    <t xml:space="preserve">R-0098</t>
  </si>
  <si>
    <t xml:space="preserve">S-0046</t>
  </si>
  <si>
    <t xml:space="preserve">R-0099</t>
  </si>
  <si>
    <t xml:space="preserve">R-0100</t>
  </si>
  <si>
    <t xml:space="preserve">S-0047</t>
  </si>
  <si>
    <t xml:space="preserve">R-0101</t>
  </si>
  <si>
    <t xml:space="preserve">R-0102</t>
  </si>
  <si>
    <t xml:space="preserve">S-0048</t>
  </si>
  <si>
    <t xml:space="preserve">R-0103</t>
  </si>
  <si>
    <t xml:space="preserve">R-0104</t>
  </si>
  <si>
    <t xml:space="preserve">R-0105</t>
  </si>
  <si>
    <t xml:space="preserve">S-0049</t>
  </si>
  <si>
    <t xml:space="preserve">R-0106</t>
  </si>
  <si>
    <t xml:space="preserve">R-0107</t>
  </si>
  <si>
    <t xml:space="preserve">S-0050</t>
  </si>
  <si>
    <t xml:space="preserve">R-0108</t>
  </si>
  <si>
    <t xml:space="preserve">R-0109</t>
  </si>
  <si>
    <t xml:space="preserve">S-0051</t>
  </si>
  <si>
    <t xml:space="preserve">R-0110</t>
  </si>
  <si>
    <t xml:space="preserve">R-0111</t>
  </si>
  <si>
    <t xml:space="preserve">R-0112</t>
  </si>
  <si>
    <t xml:space="preserve">S-0052</t>
  </si>
  <si>
    <t xml:space="preserve">R-0113</t>
  </si>
  <si>
    <t xml:space="preserve">R-0114</t>
  </si>
  <si>
    <t xml:space="preserve">S-0053</t>
  </si>
  <si>
    <t xml:space="preserve">R-0115</t>
  </si>
  <si>
    <t xml:space="preserve">R-0116</t>
  </si>
  <si>
    <t xml:space="preserve">S-0054</t>
  </si>
  <si>
    <t xml:space="preserve">&lt;30 days</t>
  </si>
  <si>
    <t xml:space="preserve">R-0117</t>
  </si>
  <si>
    <t xml:space="preserve">S-0055</t>
  </si>
  <si>
    <t xml:space="preserve">R-0118</t>
  </si>
  <si>
    <t xml:space="preserve">R-0119</t>
  </si>
  <si>
    <t xml:space="preserve">R-0120</t>
  </si>
  <si>
    <t xml:space="preserve">S-0056</t>
  </si>
  <si>
    <t xml:space="preserve">R-0121</t>
  </si>
  <si>
    <t xml:space="preserve">S-0057</t>
  </si>
  <si>
    <t xml:space="preserve">R-0122</t>
  </si>
  <si>
    <t xml:space="preserve">R-0123</t>
  </si>
  <si>
    <t xml:space="preserve">R-0124</t>
  </si>
  <si>
    <t xml:space="preserve">S-0058</t>
  </si>
  <si>
    <t xml:space="preserve">R-0125</t>
  </si>
  <si>
    <t xml:space="preserve">R-0126</t>
  </si>
  <si>
    <t xml:space="preserve">R-0127</t>
  </si>
  <si>
    <t xml:space="preserve">S-0059</t>
  </si>
  <si>
    <t xml:space="preserve">R-0128</t>
  </si>
  <si>
    <t xml:space="preserve">R-0129</t>
  </si>
  <si>
    <t xml:space="preserve">R-0130</t>
  </si>
  <si>
    <t xml:space="preserve">S-0060</t>
  </si>
  <si>
    <t xml:space="preserve">R-0131</t>
  </si>
  <si>
    <t xml:space="preserve">R-0132</t>
  </si>
  <si>
    <t xml:space="preserve">R-0133</t>
  </si>
  <si>
    <t xml:space="preserve">S-0061</t>
  </si>
  <si>
    <t xml:space="preserve">R-0134</t>
  </si>
  <si>
    <t xml:space="preserve">S-0062</t>
  </si>
  <si>
    <t xml:space="preserve">R-0135</t>
  </si>
  <si>
    <t xml:space="preserve">R-0136</t>
  </si>
  <si>
    <t xml:space="preserve">R-0137</t>
  </si>
  <si>
    <t xml:space="preserve">S-0063</t>
  </si>
  <si>
    <t xml:space="preserve">R-0138</t>
  </si>
  <si>
    <t xml:space="preserve">R-0139</t>
  </si>
  <si>
    <t xml:space="preserve">R-0140</t>
  </si>
  <si>
    <t xml:space="preserve">S-0064</t>
  </si>
  <si>
    <t xml:space="preserve">R-0141</t>
  </si>
  <si>
    <t xml:space="preserve">R-0142</t>
  </si>
  <si>
    <t xml:space="preserve">R-0143</t>
  </si>
  <si>
    <t xml:space="preserve">S-0065</t>
  </si>
  <si>
    <t xml:space="preserve">R-0144</t>
  </si>
  <si>
    <t xml:space="preserve">S-0066</t>
  </si>
  <si>
    <t xml:space="preserve">R-0145</t>
  </si>
  <si>
    <t xml:space="preserve">R-0146</t>
  </si>
  <si>
    <t xml:space="preserve">R-0147</t>
  </si>
  <si>
    <t xml:space="preserve">S-0067</t>
  </si>
  <si>
    <t xml:space="preserve">R-0148</t>
  </si>
  <si>
    <t xml:space="preserve">S-0068</t>
  </si>
  <si>
    <t xml:space="preserve">R-0149</t>
  </si>
  <si>
    <t xml:space="preserve">R-0150</t>
  </si>
  <si>
    <t xml:space="preserve">S-0069</t>
  </si>
  <si>
    <t xml:space="preserve">R-0151</t>
  </si>
  <si>
    <t xml:space="preserve">R-0152</t>
  </si>
  <si>
    <t xml:space="preserve">R-0153</t>
  </si>
  <si>
    <t xml:space="preserve">S-0070</t>
  </si>
  <si>
    <t xml:space="preserve">R-0154</t>
  </si>
  <si>
    <t xml:space="preserve">R-0155</t>
  </si>
  <si>
    <t xml:space="preserve">S-0071</t>
  </si>
  <si>
    <t xml:space="preserve">R-0156</t>
  </si>
  <si>
    <t xml:space="preserve">R-0157</t>
  </si>
  <si>
    <t xml:space="preserve">R-0158</t>
  </si>
  <si>
    <t xml:space="preserve">S-0072</t>
  </si>
  <si>
    <t xml:space="preserve">R-0159</t>
  </si>
  <si>
    <t xml:space="preserve">R-0160</t>
  </si>
  <si>
    <t xml:space="preserve">S-0073</t>
  </si>
  <si>
    <t xml:space="preserve">R-0161</t>
  </si>
  <si>
    <t xml:space="preserve">R-0162</t>
  </si>
  <si>
    <t xml:space="preserve">S-0074</t>
  </si>
  <si>
    <t xml:space="preserve">R-0163</t>
  </si>
  <si>
    <t xml:space="preserve">R-0164</t>
  </si>
  <si>
    <t xml:space="preserve">R-0165</t>
  </si>
  <si>
    <t xml:space="preserve">S-0075</t>
  </si>
  <si>
    <t xml:space="preserve">R-0166</t>
  </si>
  <si>
    <t xml:space="preserve">R-0167</t>
  </si>
  <si>
    <t xml:space="preserve">R-0168</t>
  </si>
  <si>
    <t xml:space="preserve">S-0076</t>
  </si>
  <si>
    <t xml:space="preserve">R-0169</t>
  </si>
  <si>
    <t xml:space="preserve">R-0170</t>
  </si>
  <si>
    <t xml:space="preserve">S-0077</t>
  </si>
  <si>
    <t xml:space="preserve">R-0171</t>
  </si>
  <si>
    <t xml:space="preserve">R-0172</t>
  </si>
  <si>
    <t xml:space="preserve">S-0078</t>
  </si>
  <si>
    <t xml:space="preserve">R-0173</t>
  </si>
  <si>
    <t xml:space="preserve">R-0174</t>
  </si>
  <si>
    <t xml:space="preserve">S-0079</t>
  </si>
  <si>
    <t xml:space="preserve">R-0175</t>
  </si>
  <si>
    <t xml:space="preserve">R-0176</t>
  </si>
  <si>
    <t xml:space="preserve">S-0080</t>
  </si>
  <si>
    <t xml:space="preserve">R-0177</t>
  </si>
  <si>
    <t xml:space="preserve">R-0178</t>
  </si>
  <si>
    <t xml:space="preserve">R-0179</t>
  </si>
  <si>
    <t xml:space="preserve">S-0081</t>
  </si>
  <si>
    <t xml:space="preserve">R-0180</t>
  </si>
  <si>
    <t xml:space="preserve">R-0181</t>
  </si>
  <si>
    <t xml:space="preserve">R-0182</t>
  </si>
  <si>
    <t xml:space="preserve">S-0082</t>
  </si>
  <si>
    <t xml:space="preserve">R-0183</t>
  </si>
  <si>
    <t xml:space="preserve">R-0184</t>
  </si>
  <si>
    <t xml:space="preserve">R-0185</t>
  </si>
  <si>
    <t xml:space="preserve">S-0083</t>
  </si>
  <si>
    <t xml:space="preserve">R-0186</t>
  </si>
  <si>
    <t xml:space="preserve">S-0084</t>
  </si>
  <si>
    <t xml:space="preserve">R-0187</t>
  </si>
  <si>
    <t xml:space="preserve">R-0188</t>
  </si>
  <si>
    <t xml:space="preserve">R-0189</t>
  </si>
  <si>
    <t xml:space="preserve">S-0085</t>
  </si>
  <si>
    <t xml:space="preserve">R-0190</t>
  </si>
  <si>
    <t xml:space="preserve">S-0086</t>
  </si>
  <si>
    <t xml:space="preserve">R-0191</t>
  </si>
  <si>
    <t xml:space="preserve">S-0087</t>
  </si>
  <si>
    <t xml:space="preserve">R-0192</t>
  </si>
  <si>
    <t xml:space="preserve">R-0193</t>
  </si>
  <si>
    <t xml:space="preserve">S-0088</t>
  </si>
  <si>
    <t xml:space="preserve">R-0194</t>
  </si>
  <si>
    <t xml:space="preserve">R-0195</t>
  </si>
  <si>
    <t xml:space="preserve">S-0089</t>
  </si>
  <si>
    <t xml:space="preserve">R-0196</t>
  </si>
  <si>
    <t xml:space="preserve">S-0090</t>
  </si>
  <si>
    <t xml:space="preserve">R-0197</t>
  </si>
  <si>
    <t xml:space="preserve">S-0091</t>
  </si>
  <si>
    <t xml:space="preserve">R-0198</t>
  </si>
  <si>
    <t xml:space="preserve">R-0199</t>
  </si>
  <si>
    <t xml:space="preserve">R-0200</t>
  </si>
  <si>
    <t xml:space="preserve">S-0092</t>
  </si>
  <si>
    <t xml:space="preserve">R-0201</t>
  </si>
  <si>
    <t xml:space="preserve">R-0202</t>
  </si>
  <si>
    <t xml:space="preserve">R-0203</t>
  </si>
  <si>
    <t xml:space="preserve">S-0093</t>
  </si>
  <si>
    <t xml:space="preserve">R-0204</t>
  </si>
  <si>
    <t xml:space="preserve">S-0094</t>
  </si>
  <si>
    <t xml:space="preserve">R-0205</t>
  </si>
  <si>
    <t xml:space="preserve">R-0206</t>
  </si>
  <si>
    <t xml:space="preserve">S-0095</t>
  </si>
  <si>
    <t xml:space="preserve">R-0207</t>
  </si>
  <si>
    <t xml:space="preserve">R-0208</t>
  </si>
  <si>
    <t xml:space="preserve">S-0096</t>
  </si>
  <si>
    <t xml:space="preserve">R-0209</t>
  </si>
  <si>
    <t xml:space="preserve">R-0210</t>
  </si>
  <si>
    <t xml:space="preserve">S-0097</t>
  </si>
  <si>
    <t xml:space="preserve">R-0211</t>
  </si>
  <si>
    <t xml:space="preserve">R-0212</t>
  </si>
  <si>
    <t xml:space="preserve">R-0213</t>
  </si>
  <si>
    <t xml:space="preserve">S-0098</t>
  </si>
  <si>
    <t xml:space="preserve">R-0214</t>
  </si>
  <si>
    <t xml:space="preserve">R-0215</t>
  </si>
  <si>
    <t xml:space="preserve">S-0099</t>
  </si>
  <si>
    <t xml:space="preserve">R-0216</t>
  </si>
  <si>
    <t xml:space="preserve">R-0217</t>
  </si>
  <si>
    <t xml:space="preserve">S-0100</t>
  </si>
  <si>
    <t xml:space="preserve">R-0218</t>
  </si>
  <si>
    <t xml:space="preserve">S-0101</t>
  </si>
  <si>
    <t xml:space="preserve">R-0219</t>
  </si>
  <si>
    <t xml:space="preserve">R-0220</t>
  </si>
  <si>
    <t xml:space="preserve">S-0102</t>
  </si>
  <si>
    <t xml:space="preserve">R-0221</t>
  </si>
  <si>
    <t xml:space="preserve">R-0222</t>
  </si>
  <si>
    <t xml:space="preserve">R-0223</t>
  </si>
  <si>
    <t xml:space="preserve">S-0103</t>
  </si>
  <si>
    <t xml:space="preserve">R-0224</t>
  </si>
  <si>
    <t xml:space="preserve">S-0104</t>
  </si>
  <si>
    <t xml:space="preserve">R-0225</t>
  </si>
  <si>
    <t xml:space="preserve">R-0226</t>
  </si>
  <si>
    <t xml:space="preserve">S-0105</t>
  </si>
  <si>
    <t xml:space="preserve">R-0227</t>
  </si>
  <si>
    <t xml:space="preserve">R-0228</t>
  </si>
  <si>
    <t xml:space="preserve">S-0106</t>
  </si>
  <si>
    <t xml:space="preserve">R-0229</t>
  </si>
  <si>
    <t xml:space="preserve">R-0230</t>
  </si>
  <si>
    <t xml:space="preserve">S-0107</t>
  </si>
  <si>
    <t xml:space="preserve">R-0231</t>
  </si>
  <si>
    <t xml:space="preserve">S-0108</t>
  </si>
  <si>
    <t xml:space="preserve">R-0232</t>
  </si>
  <si>
    <t xml:space="preserve">R-0233</t>
  </si>
  <si>
    <t xml:space="preserve">R-0234</t>
  </si>
  <si>
    <t xml:space="preserve">S-0109</t>
  </si>
  <si>
    <t xml:space="preserve">R-0235</t>
  </si>
  <si>
    <t xml:space="preserve">R-0236</t>
  </si>
  <si>
    <t xml:space="preserve">S-0110</t>
  </si>
  <si>
    <t xml:space="preserve">R-0237</t>
  </si>
  <si>
    <t xml:space="preserve">R-0238</t>
  </si>
  <si>
    <t xml:space="preserve">S-0111</t>
  </si>
  <si>
    <t xml:space="preserve">R-0239</t>
  </si>
  <si>
    <t xml:space="preserve">R-0240</t>
  </si>
  <si>
    <t xml:space="preserve">R-0241</t>
  </si>
  <si>
    <t xml:space="preserve">S-0112</t>
  </si>
  <si>
    <t xml:space="preserve">R-0242</t>
  </si>
  <si>
    <t xml:space="preserve">R-0243</t>
  </si>
  <si>
    <t xml:space="preserve">S-0113</t>
  </si>
  <si>
    <t xml:space="preserve">R-0244</t>
  </si>
  <si>
    <t xml:space="preserve">R-0245</t>
  </si>
  <si>
    <t xml:space="preserve">S-0114</t>
  </si>
  <si>
    <t xml:space="preserve">R-0246</t>
  </si>
  <si>
    <t xml:space="preserve">R-0247</t>
  </si>
  <si>
    <t xml:space="preserve">R-0248</t>
  </si>
  <si>
    <t xml:space="preserve">S-0115</t>
  </si>
  <si>
    <t xml:space="preserve">R-0249</t>
  </si>
  <si>
    <t xml:space="preserve">R-0250</t>
  </si>
  <si>
    <t xml:space="preserve">R-0251</t>
  </si>
  <si>
    <t xml:space="preserve">S-0116</t>
  </si>
  <si>
    <t xml:space="preserve">R-0252</t>
  </si>
  <si>
    <t xml:space="preserve">R-0253</t>
  </si>
  <si>
    <t xml:space="preserve">R-0254</t>
  </si>
  <si>
    <t xml:space="preserve">S-0117</t>
  </si>
  <si>
    <t xml:space="preserve">R-0255</t>
  </si>
  <si>
    <t xml:space="preserve">R-0256</t>
  </si>
  <si>
    <t xml:space="preserve">S-0118</t>
  </si>
  <si>
    <t xml:space="preserve">R-0257</t>
  </si>
  <si>
    <t xml:space="preserve">R-0258</t>
  </si>
  <si>
    <t xml:space="preserve">R-0259</t>
  </si>
  <si>
    <t xml:space="preserve">S-0119</t>
  </si>
  <si>
    <t xml:space="preserve">R-0260</t>
  </si>
  <si>
    <t xml:space="preserve">S-0120</t>
  </si>
  <si>
    <t xml:space="preserve">R-0261</t>
  </si>
  <si>
    <t xml:space="preserve">S-0121</t>
  </si>
  <si>
    <t xml:space="preserve">R-0262</t>
  </si>
  <si>
    <t xml:space="preserve">R-0263</t>
  </si>
  <si>
    <t xml:space="preserve">S-0122</t>
  </si>
  <si>
    <t xml:space="preserve">R-0264</t>
  </si>
  <si>
    <t xml:space="preserve">R-0265</t>
  </si>
  <si>
    <t xml:space="preserve">R-0266</t>
  </si>
  <si>
    <t xml:space="preserve">S-0123</t>
  </si>
  <si>
    <t xml:space="preserve">R-0267</t>
  </si>
  <si>
    <t xml:space="preserve">R-0268</t>
  </si>
  <si>
    <t xml:space="preserve">R-0269</t>
  </si>
  <si>
    <t xml:space="preserve">S-0124</t>
  </si>
  <si>
    <t xml:space="preserve">R-0270</t>
  </si>
  <si>
    <t xml:space="preserve">S-0125</t>
  </si>
  <si>
    <t xml:space="preserve">R-0271</t>
  </si>
  <si>
    <t xml:space="preserve">R-0272</t>
  </si>
  <si>
    <t xml:space="preserve">S-0126</t>
  </si>
  <si>
    <t xml:space="preserve">R-0273</t>
  </si>
  <si>
    <t xml:space="preserve">R-0274</t>
  </si>
  <si>
    <t xml:space="preserve">S-0127</t>
  </si>
  <si>
    <t xml:space="preserve">R-0275</t>
  </si>
  <si>
    <t xml:space="preserve">R-0276</t>
  </si>
  <si>
    <t xml:space="preserve">R-0277</t>
  </si>
  <si>
    <t xml:space="preserve">S-0128</t>
  </si>
  <si>
    <t xml:space="preserve">R-0278</t>
  </si>
  <si>
    <t xml:space="preserve">R-0279</t>
  </si>
  <si>
    <t xml:space="preserve">R-0280</t>
  </si>
  <si>
    <t xml:space="preserve">S-0129</t>
  </si>
  <si>
    <t xml:space="preserve">R-0281</t>
  </si>
  <si>
    <t xml:space="preserve">R-0282</t>
  </si>
  <si>
    <t xml:space="preserve">R-0283</t>
  </si>
  <si>
    <t xml:space="preserve">S-0130</t>
  </si>
  <si>
    <t xml:space="preserve">R-0284</t>
  </si>
  <si>
    <t xml:space="preserve">R-0285</t>
  </si>
  <si>
    <t xml:space="preserve">R-0286</t>
  </si>
  <si>
    <t xml:space="preserve">S-0131</t>
  </si>
  <si>
    <t xml:space="preserve">R-0287</t>
  </si>
  <si>
    <t xml:space="preserve">S-0132</t>
  </si>
  <si>
    <t xml:space="preserve">R-0288</t>
  </si>
  <si>
    <t xml:space="preserve">R-0289</t>
  </si>
  <si>
    <t xml:space="preserve">S-0133</t>
  </si>
  <si>
    <t xml:space="preserve">R-0290</t>
  </si>
  <si>
    <t xml:space="preserve">R-0291</t>
  </si>
  <si>
    <t xml:space="preserve">S-0134</t>
  </si>
  <si>
    <t xml:space="preserve">R-0292</t>
  </si>
  <si>
    <t xml:space="preserve">R-0293</t>
  </si>
  <si>
    <t xml:space="preserve">R-0294</t>
  </si>
  <si>
    <t xml:space="preserve">S-0135</t>
  </si>
  <si>
    <t xml:space="preserve">R-0295</t>
  </si>
  <si>
    <t xml:space="preserve">S-0136</t>
  </si>
  <si>
    <t xml:space="preserve">R-0296</t>
  </si>
  <si>
    <t xml:space="preserve">R-0297</t>
  </si>
  <si>
    <t xml:space="preserve">R-0298</t>
  </si>
  <si>
    <t xml:space="preserve">S-0137</t>
  </si>
  <si>
    <t xml:space="preserve">R-0299</t>
  </si>
  <si>
    <t xml:space="preserve">R-0300</t>
  </si>
  <si>
    <t xml:space="preserve">R-0301</t>
  </si>
  <si>
    <t xml:space="preserve">S-0138</t>
  </si>
  <si>
    <t xml:space="preserve">R-0302</t>
  </si>
  <si>
    <t xml:space="preserve">R-0303</t>
  </si>
  <si>
    <t xml:space="preserve">R-0304</t>
  </si>
  <si>
    <t xml:space="preserve">S-0139</t>
  </si>
  <si>
    <t xml:space="preserve">R-0305</t>
  </si>
  <si>
    <t xml:space="preserve">R-0306</t>
  </si>
  <si>
    <t xml:space="preserve">S-0140</t>
  </si>
  <si>
    <t xml:space="preserve">R-0307</t>
  </si>
  <si>
    <t xml:space="preserve">R-0308</t>
  </si>
  <si>
    <t xml:space="preserve">R-0309</t>
  </si>
  <si>
    <t xml:space="preserve">S-0141</t>
  </si>
  <si>
    <t xml:space="preserve">R-0310</t>
  </si>
  <si>
    <t xml:space="preserve">R-0311</t>
  </si>
  <si>
    <t xml:space="preserve">S-0142</t>
  </si>
  <si>
    <t xml:space="preserve">R-0312</t>
  </si>
  <si>
    <t xml:space="preserve">R-0313</t>
  </si>
  <si>
    <t xml:space="preserve">S-0143</t>
  </si>
  <si>
    <t xml:space="preserve">R-0314</t>
  </si>
  <si>
    <t xml:space="preserve">R-0315</t>
  </si>
  <si>
    <t xml:space="preserve">R-0316</t>
  </si>
  <si>
    <t xml:space="preserve">S-0144</t>
  </si>
  <si>
    <t xml:space="preserve">R-0317</t>
  </si>
  <si>
    <t xml:space="preserve">R-0318</t>
  </si>
  <si>
    <t xml:space="preserve">R-0319</t>
  </si>
  <si>
    <t xml:space="preserve">S-0145</t>
  </si>
  <si>
    <t xml:space="preserve">R-0320</t>
  </si>
  <si>
    <t xml:space="preserve">R-0321</t>
  </si>
  <si>
    <t xml:space="preserve">R-0322</t>
  </si>
  <si>
    <t xml:space="preserve">S-0146</t>
  </si>
  <si>
    <t xml:space="preserve">R-0323</t>
  </si>
  <si>
    <t xml:space="preserve">S-0147</t>
  </si>
  <si>
    <t xml:space="preserve">R-0324</t>
  </si>
  <si>
    <t xml:space="preserve">R-0325</t>
  </si>
  <si>
    <t xml:space="preserve">R-0326</t>
  </si>
  <si>
    <t xml:space="preserve">S-0148</t>
  </si>
  <si>
    <t xml:space="preserve">R-0327</t>
  </si>
  <si>
    <t xml:space="preserve">R-0328</t>
  </si>
  <si>
    <t xml:space="preserve">R-0329</t>
  </si>
  <si>
    <t xml:space="preserve">S-0149</t>
  </si>
  <si>
    <t xml:space="preserve">R-0330</t>
  </si>
  <si>
    <t xml:space="preserve">R-0331</t>
  </si>
  <si>
    <t xml:space="preserve">S-0150</t>
  </si>
  <si>
    <t xml:space="preserve">R-0332</t>
  </si>
  <si>
    <t xml:space="preserve">R-0333</t>
  </si>
  <si>
    <t xml:space="preserve">S-0151</t>
  </si>
  <si>
    <t xml:space="preserve">R-0334</t>
  </si>
  <si>
    <t xml:space="preserve">R-0335</t>
  </si>
  <si>
    <t xml:space="preserve">R-0336</t>
  </si>
  <si>
    <t xml:space="preserve">S-0152</t>
  </si>
  <si>
    <t xml:space="preserve">R-0337</t>
  </si>
  <si>
    <t xml:space="preserve">R-0338</t>
  </si>
  <si>
    <t xml:space="preserve">R-0339</t>
  </si>
  <si>
    <t xml:space="preserve">S-0153</t>
  </si>
  <si>
    <t xml:space="preserve">R-0340</t>
  </si>
  <si>
    <t xml:space="preserve">R-0341</t>
  </si>
  <si>
    <t xml:space="preserve">R-0342</t>
  </si>
  <si>
    <t xml:space="preserve">S-0154</t>
  </si>
  <si>
    <t xml:space="preserve">R-0343</t>
  </si>
  <si>
    <t xml:space="preserve">R-0344</t>
  </si>
  <si>
    <t xml:space="preserve">R-0345</t>
  </si>
  <si>
    <t xml:space="preserve">S-0155</t>
  </si>
  <si>
    <t xml:space="preserve">R-0346</t>
  </si>
  <si>
    <t xml:space="preserve">S-0156</t>
  </si>
  <si>
    <t xml:space="preserve">R-0347</t>
  </si>
  <si>
    <t xml:space="preserve">R-0348</t>
  </si>
  <si>
    <t xml:space="preserve">R-0349</t>
  </si>
  <si>
    <t xml:space="preserve">S-0157</t>
  </si>
  <si>
    <t xml:space="preserve">R-0350</t>
  </si>
  <si>
    <t xml:space="preserve">R-0351</t>
  </si>
  <si>
    <t xml:space="preserve">S-0158</t>
  </si>
  <si>
    <t xml:space="preserve">R-0352</t>
  </si>
  <si>
    <t xml:space="preserve">R-0353</t>
  </si>
  <si>
    <t xml:space="preserve">R-0354</t>
  </si>
  <si>
    <t xml:space="preserve">S-0159</t>
  </si>
  <si>
    <t xml:space="preserve">R-0355</t>
  </si>
  <si>
    <t xml:space="preserve">R-0356</t>
  </si>
  <si>
    <t xml:space="preserve">R-0357</t>
  </si>
  <si>
    <t xml:space="preserve">S-0160</t>
  </si>
  <si>
    <t xml:space="preserve">R-0358</t>
  </si>
  <si>
    <t xml:space="preserve">S-0161</t>
  </si>
  <si>
    <t xml:space="preserve">R-0359</t>
  </si>
  <si>
    <t xml:space="preserve">R-0360</t>
  </si>
  <si>
    <t xml:space="preserve">R-0361</t>
  </si>
  <si>
    <t xml:space="preserve">S-0162</t>
  </si>
  <si>
    <t xml:space="preserve">R-0362</t>
  </si>
  <si>
    <t xml:space="preserve">R-0363</t>
  </si>
  <si>
    <t xml:space="preserve">S-0163</t>
  </si>
  <si>
    <t xml:space="preserve">R-0364</t>
  </si>
  <si>
    <t xml:space="preserve">R-0365</t>
  </si>
  <si>
    <t xml:space="preserve">S-0164</t>
  </si>
  <si>
    <t xml:space="preserve">R-0366</t>
  </si>
  <si>
    <t xml:space="preserve">R-0367</t>
  </si>
  <si>
    <t xml:space="preserve">R-0368</t>
  </si>
  <si>
    <t xml:space="preserve">S-0165</t>
  </si>
  <si>
    <t xml:space="preserve">R-0369</t>
  </si>
  <si>
    <t xml:space="preserve">R-0370</t>
  </si>
  <si>
    <t xml:space="preserve">S-0166</t>
  </si>
  <si>
    <t xml:space="preserve">R-0371</t>
  </si>
  <si>
    <t xml:space="preserve">S-0167</t>
  </si>
  <si>
    <t xml:space="preserve">R-0372</t>
  </si>
  <si>
    <t xml:space="preserve">R-0373</t>
  </si>
  <si>
    <t xml:space="preserve">R-0374</t>
  </si>
  <si>
    <t xml:space="preserve">S-0168</t>
  </si>
  <si>
    <t xml:space="preserve">R-0375</t>
  </si>
  <si>
    <t xml:space="preserve">S-0169</t>
  </si>
  <si>
    <t xml:space="preserve">R-0376</t>
  </si>
  <si>
    <t xml:space="preserve">R-0377</t>
  </si>
  <si>
    <t xml:space="preserve">R-0378</t>
  </si>
  <si>
    <t xml:space="preserve">S-0170</t>
  </si>
  <si>
    <t xml:space="preserve">R-0379</t>
  </si>
  <si>
    <t xml:space="preserve">S-0171</t>
  </si>
  <si>
    <t xml:space="preserve">R-0380</t>
  </si>
  <si>
    <t xml:space="preserve">R-0381</t>
  </si>
  <si>
    <t xml:space="preserve">S-0172</t>
  </si>
  <si>
    <t xml:space="preserve">R-0382</t>
  </si>
  <si>
    <t xml:space="preserve">R-0383</t>
  </si>
  <si>
    <t xml:space="preserve">S-0173</t>
  </si>
  <si>
    <t xml:space="preserve">R-0384</t>
  </si>
  <si>
    <t xml:space="preserve">S-0174</t>
  </si>
  <si>
    <t xml:space="preserve">R-0385</t>
  </si>
  <si>
    <t xml:space="preserve">S-0175</t>
  </si>
  <si>
    <t xml:space="preserve">R-0386</t>
  </si>
  <si>
    <t xml:space="preserve">R-0387</t>
  </si>
  <si>
    <t xml:space="preserve">S-0176</t>
  </si>
  <si>
    <t xml:space="preserve">R-0388</t>
  </si>
  <si>
    <t xml:space="preserve">R-0389</t>
  </si>
  <si>
    <t xml:space="preserve">S-0177</t>
  </si>
  <si>
    <t xml:space="preserve">R-0390</t>
  </si>
  <si>
    <t xml:space="preserve">R-0391</t>
  </si>
  <si>
    <t xml:space="preserve">S-0178</t>
  </si>
  <si>
    <t xml:space="preserve">R-0392</t>
  </si>
  <si>
    <t xml:space="preserve">S-0179</t>
  </si>
  <si>
    <t xml:space="preserve">R-0393</t>
  </si>
  <si>
    <t xml:space="preserve">R-0394</t>
  </si>
  <si>
    <t xml:space="preserve">R-0395</t>
  </si>
  <si>
    <t xml:space="preserve">S-0180</t>
  </si>
  <si>
    <t xml:space="preserve">R-0396</t>
  </si>
  <si>
    <t xml:space="preserve">S-0181</t>
  </si>
  <si>
    <t xml:space="preserve">R-0397</t>
  </si>
  <si>
    <t xml:space="preserve">S-0182</t>
  </si>
  <si>
    <t xml:space="preserve">R-0398</t>
  </si>
  <si>
    <t xml:space="preserve">R-0399</t>
  </si>
  <si>
    <t xml:space="preserve">R-0400</t>
  </si>
  <si>
    <t xml:space="preserve">S-0183</t>
  </si>
  <si>
    <t xml:space="preserve">R-0401</t>
  </si>
  <si>
    <t xml:space="preserve">R-0402</t>
  </si>
  <si>
    <t xml:space="preserve">S-0184</t>
  </si>
  <si>
    <t xml:space="preserve">R-0403</t>
  </si>
  <si>
    <t xml:space="preserve">R-0404</t>
  </si>
  <si>
    <t xml:space="preserve">S-0185</t>
  </si>
  <si>
    <t xml:space="preserve">R-0405</t>
  </si>
  <si>
    <t xml:space="preserve">R-0406</t>
  </si>
  <si>
    <t xml:space="preserve">R-0407</t>
  </si>
  <si>
    <t xml:space="preserve">S-0186</t>
  </si>
  <si>
    <t xml:space="preserve">R-0408</t>
  </si>
  <si>
    <t xml:space="preserve">R-0409</t>
  </si>
  <si>
    <t xml:space="preserve">R-0410</t>
  </si>
  <si>
    <t xml:space="preserve">S-0187</t>
  </si>
  <si>
    <t xml:space="preserve">R-0411</t>
  </si>
  <si>
    <t xml:space="preserve">S-0188</t>
  </si>
  <si>
    <t xml:space="preserve">R-0412</t>
  </si>
  <si>
    <t xml:space="preserve">S-0189</t>
  </si>
  <si>
    <t xml:space="preserve">R-0413</t>
  </si>
  <si>
    <t xml:space="preserve">S-0190</t>
  </si>
  <si>
    <t xml:space="preserve">R-0414</t>
  </si>
  <si>
    <t xml:space="preserve">R-0415</t>
  </si>
  <si>
    <t xml:space="preserve">R-0416</t>
  </si>
  <si>
    <t xml:space="preserve">S-0191</t>
  </si>
  <si>
    <t xml:space="preserve">R-0417</t>
  </si>
  <si>
    <t xml:space="preserve">S-0192</t>
  </si>
  <si>
    <t xml:space="preserve">R-0418</t>
  </si>
  <si>
    <t xml:space="preserve">R-0419</t>
  </si>
  <si>
    <t xml:space="preserve">R-0420</t>
  </si>
  <si>
    <t xml:space="preserve">S-0193</t>
  </si>
  <si>
    <t xml:space="preserve">R-0421</t>
  </si>
  <si>
    <t xml:space="preserve">R-0422</t>
  </si>
  <si>
    <t xml:space="preserve">R-0423</t>
  </si>
  <si>
    <t xml:space="preserve">S-0194</t>
  </si>
  <si>
    <t xml:space="preserve">R-0424</t>
  </si>
  <si>
    <t xml:space="preserve">R-0425</t>
  </si>
  <si>
    <t xml:space="preserve">S-0195</t>
  </si>
  <si>
    <t xml:space="preserve">R-0426</t>
  </si>
  <si>
    <t xml:space="preserve">R-0427</t>
  </si>
  <si>
    <t xml:space="preserve">R-0428</t>
  </si>
  <si>
    <t xml:space="preserve">S-0196</t>
  </si>
  <si>
    <t xml:space="preserve">R-0429</t>
  </si>
  <si>
    <t xml:space="preserve">R-0430</t>
  </si>
  <si>
    <t xml:space="preserve">S-0197</t>
  </si>
  <si>
    <t xml:space="preserve">R-0431</t>
  </si>
  <si>
    <t xml:space="preserve">S-0198</t>
  </si>
  <si>
    <t xml:space="preserve">R-0432</t>
  </si>
  <si>
    <t xml:space="preserve">R-0433</t>
  </si>
  <si>
    <t xml:space="preserve">R-0434</t>
  </si>
  <si>
    <t xml:space="preserve">S-0199</t>
  </si>
  <si>
    <t xml:space="preserve">R-0435</t>
  </si>
  <si>
    <t xml:space="preserve">R-0436</t>
  </si>
  <si>
    <t xml:space="preserve">R-0437</t>
  </si>
  <si>
    <t xml:space="preserve">S-0200</t>
  </si>
  <si>
    <t xml:space="preserve">R-0438</t>
  </si>
  <si>
    <t xml:space="preserve">R-0439</t>
  </si>
  <si>
    <t xml:space="preserve">R-0440</t>
  </si>
  <si>
    <t xml:space="preserve">S-0201</t>
  </si>
  <si>
    <t xml:space="preserve">R-0441</t>
  </si>
  <si>
    <t xml:space="preserve">R-0442</t>
  </si>
  <si>
    <t xml:space="preserve">S-0202</t>
  </si>
  <si>
    <t xml:space="preserve">R-0443</t>
  </si>
  <si>
    <t xml:space="preserve">R-0444</t>
  </si>
  <si>
    <t xml:space="preserve">S-0203</t>
  </si>
  <si>
    <t xml:space="preserve">R-0445</t>
  </si>
  <si>
    <t xml:space="preserve">S-0204</t>
  </si>
  <si>
    <t xml:space="preserve">R-0446</t>
  </si>
  <si>
    <t xml:space="preserve">R-0447</t>
  </si>
  <si>
    <t xml:space="preserve">R-0448</t>
  </si>
  <si>
    <t xml:space="preserve">S-0205</t>
  </si>
  <si>
    <t xml:space="preserve">R-0449</t>
  </si>
  <si>
    <t xml:space="preserve">R-0450</t>
  </si>
  <si>
    <t xml:space="preserve">S-0206</t>
  </si>
  <si>
    <t xml:space="preserve">R-0451</t>
  </si>
  <si>
    <t xml:space="preserve">R-0452</t>
  </si>
  <si>
    <t xml:space="preserve">R-0453</t>
  </si>
  <si>
    <t xml:space="preserve">S-0207</t>
  </si>
  <si>
    <t xml:space="preserve">R-0454</t>
  </si>
  <si>
    <t xml:space="preserve">R-0455</t>
  </si>
  <si>
    <t xml:space="preserve">R-0456</t>
  </si>
  <si>
    <t xml:space="preserve">S-0208</t>
  </si>
  <si>
    <t xml:space="preserve">R-0457</t>
  </si>
  <si>
    <t xml:space="preserve">R-0458</t>
  </si>
  <si>
    <t xml:space="preserve">R-0459</t>
  </si>
  <si>
    <t xml:space="preserve">S-0209</t>
  </si>
  <si>
    <t xml:space="preserve">R-0460</t>
  </si>
  <si>
    <t xml:space="preserve">S-0210</t>
  </si>
  <si>
    <t xml:space="preserve">R-0461</t>
  </si>
  <si>
    <t xml:space="preserve">R-0462</t>
  </si>
  <si>
    <t xml:space="preserve">S-0211</t>
  </si>
  <si>
    <t xml:space="preserve">R-0463</t>
  </si>
  <si>
    <t xml:space="preserve">R-0464</t>
  </si>
  <si>
    <t xml:space="preserve">R-0465</t>
  </si>
  <si>
    <t xml:space="preserve">S-0212</t>
  </si>
  <si>
    <t xml:space="preserve">R-0466</t>
  </si>
  <si>
    <t xml:space="preserve">R-0467</t>
  </si>
  <si>
    <t xml:space="preserve">R-0468</t>
  </si>
  <si>
    <t xml:space="preserve">S-0213</t>
  </si>
  <si>
    <t xml:space="preserve">R-0469</t>
  </si>
  <si>
    <t xml:space="preserve">R-0470</t>
  </si>
  <si>
    <t xml:space="preserve">R-0471</t>
  </si>
  <si>
    <t xml:space="preserve">S-0214</t>
  </si>
  <si>
    <t xml:space="preserve">R-0472</t>
  </si>
  <si>
    <t xml:space="preserve">S-0215</t>
  </si>
  <si>
    <t xml:space="preserve">R-0473</t>
  </si>
  <si>
    <t xml:space="preserve">R-0474</t>
  </si>
  <si>
    <t xml:space="preserve">R-0475</t>
  </si>
  <si>
    <t xml:space="preserve">S-0216</t>
  </si>
  <si>
    <t xml:space="preserve">R-0476</t>
  </si>
  <si>
    <t xml:space="preserve">S-0217</t>
  </si>
  <si>
    <t xml:space="preserve">R-0477</t>
  </si>
  <si>
    <t xml:space="preserve">R-0478</t>
  </si>
  <si>
    <t xml:space="preserve">R-0479</t>
  </si>
  <si>
    <t xml:space="preserve">S-0218</t>
  </si>
  <si>
    <t xml:space="preserve">R-0480</t>
  </si>
  <si>
    <t xml:space="preserve">R-0481</t>
  </si>
  <si>
    <t xml:space="preserve">S-0219</t>
  </si>
  <si>
    <t xml:space="preserve">R-0482</t>
  </si>
  <si>
    <t xml:space="preserve">R-0483</t>
  </si>
  <si>
    <t xml:space="preserve">R-0484</t>
  </si>
  <si>
    <t xml:space="preserve">S-0220</t>
  </si>
  <si>
    <t xml:space="preserve">R-0485</t>
  </si>
  <si>
    <t xml:space="preserve">R-0486</t>
  </si>
  <si>
    <t xml:space="preserve">R-0487</t>
  </si>
  <si>
    <t xml:space="preserve">S-0221</t>
  </si>
  <si>
    <t xml:space="preserve">R-0488</t>
  </si>
  <si>
    <t xml:space="preserve">R-0489</t>
  </si>
  <si>
    <t xml:space="preserve">S-0222</t>
  </si>
  <si>
    <t xml:space="preserve">R-0490</t>
  </si>
  <si>
    <t xml:space="preserve">R-0491</t>
  </si>
  <si>
    <t xml:space="preserve">S-0223</t>
  </si>
  <si>
    <t xml:space="preserve">R-0492</t>
  </si>
  <si>
    <t xml:space="preserve">R-0493</t>
  </si>
  <si>
    <t xml:space="preserve">S-0224</t>
  </si>
  <si>
    <t xml:space="preserve">R-0494</t>
  </si>
  <si>
    <t xml:space="preserve">R-0495</t>
  </si>
  <si>
    <t xml:space="preserve">S-0225</t>
  </si>
  <si>
    <t xml:space="preserve">R-0496</t>
  </si>
  <si>
    <t xml:space="preserve">R-0497</t>
  </si>
  <si>
    <t xml:space="preserve">S-0226</t>
  </si>
  <si>
    <t xml:space="preserve">R-0498</t>
  </si>
  <si>
    <t xml:space="preserve">R-0499</t>
  </si>
  <si>
    <t xml:space="preserve">S-0227</t>
  </si>
  <si>
    <t xml:space="preserve">R-0500</t>
  </si>
  <si>
    <t xml:space="preserve">R-0501</t>
  </si>
  <si>
    <t xml:space="preserve">S-0228</t>
  </si>
  <si>
    <t xml:space="preserve">R-0502</t>
  </si>
  <si>
    <t xml:space="preserve">R-0503</t>
  </si>
  <si>
    <t xml:space="preserve">S-0229</t>
  </si>
  <si>
    <t xml:space="preserve">R-0504</t>
  </si>
  <si>
    <t xml:space="preserve">R-0505</t>
  </si>
  <si>
    <t xml:space="preserve">S-0230</t>
  </si>
  <si>
    <t xml:space="preserve">R-0506</t>
  </si>
  <si>
    <t xml:space="preserve">R-0507</t>
  </si>
  <si>
    <t xml:space="preserve">S-0231</t>
  </si>
  <si>
    <t xml:space="preserve">R-0508</t>
  </si>
  <si>
    <t xml:space="preserve">R-0509</t>
  </si>
  <si>
    <t xml:space="preserve">S-0232</t>
  </si>
  <si>
    <t xml:space="preserve">R-0510</t>
  </si>
  <si>
    <t xml:space="preserve">R-0511</t>
  </si>
  <si>
    <t xml:space="preserve">S-0233</t>
  </si>
  <si>
    <t xml:space="preserve">R-0512</t>
  </si>
  <si>
    <t xml:space="preserve">R-0513</t>
  </si>
  <si>
    <t xml:space="preserve">S-0234</t>
  </si>
  <si>
    <t xml:space="preserve">R-0514</t>
  </si>
  <si>
    <t xml:space="preserve">R-0515</t>
  </si>
  <si>
    <t xml:space="preserve">S-0235</t>
  </si>
  <si>
    <t xml:space="preserve">R-0516</t>
  </si>
  <si>
    <t xml:space="preserve">R-0517</t>
  </si>
  <si>
    <t xml:space="preserve">S-0236</t>
  </si>
  <si>
    <t xml:space="preserve">R-0518</t>
  </si>
  <si>
    <t xml:space="preserve">R-0519</t>
  </si>
  <si>
    <t xml:space="preserve">S-0237</t>
  </si>
  <si>
    <t xml:space="preserve">R-0520</t>
  </si>
  <si>
    <t xml:space="preserve">R-0521</t>
  </si>
  <si>
    <t xml:space="preserve">S-0238</t>
  </si>
  <si>
    <t xml:space="preserve">R-0522</t>
  </si>
  <si>
    <t xml:space="preserve">R-0523</t>
  </si>
  <si>
    <t xml:space="preserve">S-0239</t>
  </si>
  <si>
    <t xml:space="preserve">R-0524</t>
  </si>
  <si>
    <t xml:space="preserve">R-0525</t>
  </si>
  <si>
    <t xml:space="preserve">S-0240</t>
  </si>
  <si>
    <t xml:space="preserve">R-0526</t>
  </si>
  <si>
    <t xml:space="preserve">R-0527</t>
  </si>
  <si>
    <t xml:space="preserve">S-0241</t>
  </si>
  <si>
    <t xml:space="preserve">R-0528</t>
  </si>
  <si>
    <t xml:space="preserve">R-0529</t>
  </si>
  <si>
    <t xml:space="preserve">S-0242</t>
  </si>
  <si>
    <t xml:space="preserve">R-0530</t>
  </si>
  <si>
    <t xml:space="preserve">R-0531</t>
  </si>
  <si>
    <t xml:space="preserve">S-0243</t>
  </si>
  <si>
    <t xml:space="preserve">R-0532</t>
  </si>
  <si>
    <t xml:space="preserve">R-0533</t>
  </si>
  <si>
    <t xml:space="preserve">S-0244</t>
  </si>
  <si>
    <t xml:space="preserve">R-0534</t>
  </si>
  <si>
    <t xml:space="preserve">R-0535</t>
  </si>
  <si>
    <t xml:space="preserve">S-0245</t>
  </si>
  <si>
    <t xml:space="preserve">R-0536</t>
  </si>
  <si>
    <t xml:space="preserve">R-0537</t>
  </si>
  <si>
    <t xml:space="preserve">S-0246</t>
  </si>
  <si>
    <t xml:space="preserve">R-0538</t>
  </si>
  <si>
    <t xml:space="preserve">R-0539</t>
  </si>
  <si>
    <t xml:space="preserve">S-0247</t>
  </si>
  <si>
    <t xml:space="preserve">R-0540</t>
  </si>
  <si>
    <t xml:space="preserve">R-0541</t>
  </si>
  <si>
    <t xml:space="preserve">S-0248</t>
  </si>
  <si>
    <t xml:space="preserve">R-0542</t>
  </si>
  <si>
    <t xml:space="preserve">R-0543</t>
  </si>
  <si>
    <t xml:space="preserve">S-0249</t>
  </si>
  <si>
    <t xml:space="preserve">R-0544</t>
  </si>
  <si>
    <t xml:space="preserve">R-0545</t>
  </si>
  <si>
    <t xml:space="preserve">S-0250</t>
  </si>
  <si>
    <t xml:space="preserve">R-0546</t>
  </si>
  <si>
    <t xml:space="preserve">R-0547</t>
  </si>
  <si>
    <t xml:space="preserve">S-0251</t>
  </si>
  <si>
    <t xml:space="preserve">R-0548</t>
  </si>
  <si>
    <t xml:space="preserve">S-0252</t>
  </si>
  <si>
    <t xml:space="preserve">R-0549</t>
  </si>
  <si>
    <t xml:space="preserve">R-0550</t>
  </si>
  <si>
    <t xml:space="preserve">S-0253</t>
  </si>
  <si>
    <t xml:space="preserve">R-0551</t>
  </si>
  <si>
    <t xml:space="preserve">R-0552</t>
  </si>
  <si>
    <t xml:space="preserve">S-0254</t>
  </si>
  <si>
    <t xml:space="preserve">R-0553</t>
  </si>
  <si>
    <t xml:space="preserve">R-0554</t>
  </si>
  <si>
    <t xml:space="preserve">S-0255</t>
  </si>
  <si>
    <t xml:space="preserve">R-0555</t>
  </si>
  <si>
    <t xml:space="preserve">R-0556</t>
  </si>
  <si>
    <t xml:space="preserve">S-0256</t>
  </si>
  <si>
    <t xml:space="preserve">R-0557</t>
  </si>
  <si>
    <t xml:space="preserve">R-0558</t>
  </si>
  <si>
    <t xml:space="preserve">S-0257</t>
  </si>
  <si>
    <t xml:space="preserve">R-0559</t>
  </si>
  <si>
    <t xml:space="preserve">R-0560</t>
  </si>
  <si>
    <t xml:space="preserve">S-0258</t>
  </si>
  <si>
    <t xml:space="preserve">R-0561</t>
  </si>
  <si>
    <t xml:space="preserve">R-0562</t>
  </si>
  <si>
    <t xml:space="preserve">S-0259</t>
  </si>
  <si>
    <t xml:space="preserve">R-0563</t>
  </si>
  <si>
    <t xml:space="preserve">R-0564</t>
  </si>
  <si>
    <t xml:space="preserve">S-0260</t>
  </si>
  <si>
    <t xml:space="preserve">R-0565</t>
  </si>
  <si>
    <t xml:space="preserve">R-0566</t>
  </si>
  <si>
    <t xml:space="preserve">S-0261</t>
  </si>
  <si>
    <t xml:space="preserve">R-0567</t>
  </si>
  <si>
    <t xml:space="preserve">S-0262</t>
  </si>
  <si>
    <t xml:space="preserve">R-0568</t>
  </si>
  <si>
    <t xml:space="preserve">R-0569</t>
  </si>
  <si>
    <t xml:space="preserve">S-0263</t>
  </si>
  <si>
    <t xml:space="preserve">R-0570</t>
  </si>
  <si>
    <t xml:space="preserve">S-0264</t>
  </si>
  <si>
    <t xml:space="preserve">R-0571</t>
  </si>
  <si>
    <t xml:space="preserve">R-0572</t>
  </si>
  <si>
    <t xml:space="preserve">S-0265</t>
  </si>
  <si>
    <t xml:space="preserve">R-0573</t>
  </si>
  <si>
    <t xml:space="preserve">S-0266</t>
  </si>
  <si>
    <t xml:space="preserve">R-0574</t>
  </si>
  <si>
    <t xml:space="preserve">R-0575</t>
  </si>
  <si>
    <t xml:space="preserve">S-0267</t>
  </si>
  <si>
    <t xml:space="preserve">R-0576</t>
  </si>
  <si>
    <t xml:space="preserve">R-0577</t>
  </si>
  <si>
    <t xml:space="preserve">S-0268</t>
  </si>
  <si>
    <t xml:space="preserve">R-0578</t>
  </si>
  <si>
    <t xml:space="preserve">S-0269</t>
  </si>
  <si>
    <t xml:space="preserve">R-0579</t>
  </si>
  <si>
    <t xml:space="preserve">R-0580</t>
  </si>
  <si>
    <t xml:space="preserve">S-0270</t>
  </si>
  <si>
    <t xml:space="preserve">R-0581</t>
  </si>
  <si>
    <t xml:space="preserve">R-0582</t>
  </si>
  <si>
    <t xml:space="preserve">S-0271</t>
  </si>
  <si>
    <t xml:space="preserve">R-0583</t>
  </si>
  <si>
    <t xml:space="preserve">R-0584</t>
  </si>
  <si>
    <t xml:space="preserve">S-0272</t>
  </si>
  <si>
    <t xml:space="preserve">R-0585</t>
  </si>
  <si>
    <t xml:space="preserve">R-0586</t>
  </si>
  <si>
    <t xml:space="preserve">S-0273</t>
  </si>
  <si>
    <t xml:space="preserve">R-0587</t>
  </si>
  <si>
    <t xml:space="preserve">S-0274</t>
  </si>
  <si>
    <t xml:space="preserve">R-0588</t>
  </si>
  <si>
    <t xml:space="preserve">R-0589</t>
  </si>
  <si>
    <t xml:space="preserve">S-0275</t>
  </si>
  <si>
    <t xml:space="preserve">R-0590</t>
  </si>
  <si>
    <t xml:space="preserve">R-0591</t>
  </si>
  <si>
    <t xml:space="preserve">S-0276</t>
  </si>
  <si>
    <t xml:space="preserve">R-0592</t>
  </si>
  <si>
    <t xml:space="preserve">R-0593</t>
  </si>
  <si>
    <t xml:space="preserve">S-0277</t>
  </si>
  <si>
    <t xml:space="preserve">R-0594</t>
  </si>
  <si>
    <t xml:space="preserve">R-0595</t>
  </si>
  <si>
    <t xml:space="preserve">S-0278</t>
  </si>
  <si>
    <t xml:space="preserve">R-0596</t>
  </si>
  <si>
    <t xml:space="preserve">R-0597</t>
  </si>
  <si>
    <t xml:space="preserve">S-0279</t>
  </si>
  <si>
    <t xml:space="preserve">R-0598</t>
  </si>
  <si>
    <t xml:space="preserve">R-0599</t>
  </si>
  <si>
    <t xml:space="preserve">S-0280</t>
  </si>
  <si>
    <t xml:space="preserve">R-0600</t>
  </si>
  <si>
    <t xml:space="preserve">R-0601</t>
  </si>
  <si>
    <t xml:space="preserve">S-0281</t>
  </si>
  <si>
    <t xml:space="preserve">R-0602</t>
  </si>
  <si>
    <t xml:space="preserve">S-0282</t>
  </si>
  <si>
    <t xml:space="preserve">R-0603</t>
  </si>
  <si>
    <t xml:space="preserve">S-0283</t>
  </si>
  <si>
    <t xml:space="preserve">R-0604</t>
  </si>
  <si>
    <t xml:space="preserve">S-0284</t>
  </si>
  <si>
    <t xml:space="preserve">R-0605</t>
  </si>
  <si>
    <t xml:space="preserve">S-0285</t>
  </si>
  <si>
    <t xml:space="preserve">R-0606</t>
  </si>
  <si>
    <t xml:space="preserve">S-0286</t>
  </si>
  <si>
    <t xml:space="preserve">R-0607</t>
  </si>
  <si>
    <t xml:space="preserve">S-0287</t>
  </si>
  <si>
    <t xml:space="preserve">R-0608</t>
  </si>
  <si>
    <t xml:space="preserve">S-0288</t>
  </si>
  <si>
    <t xml:space="preserve">R-0609</t>
  </si>
  <si>
    <t xml:space="preserve">S-0289</t>
  </si>
  <si>
    <t xml:space="preserve">R-0610</t>
  </si>
  <si>
    <t xml:space="preserve">S-0290</t>
  </si>
  <si>
    <t xml:space="preserve">R-0611</t>
  </si>
  <si>
    <t xml:space="preserve">S-0291</t>
  </si>
  <si>
    <t xml:space="preserve">R-0612</t>
  </si>
  <si>
    <t xml:space="preserve">S-0292</t>
  </si>
  <si>
    <t xml:space="preserve">R-0613</t>
  </si>
  <si>
    <t xml:space="preserve">S-0293</t>
  </si>
  <si>
    <t xml:space="preserve">R-0614</t>
  </si>
  <si>
    <t xml:space="preserve">S-0294</t>
  </si>
  <si>
    <t xml:space="preserve">R-0615</t>
  </si>
  <si>
    <t xml:space="preserve">S-0295</t>
  </si>
  <si>
    <t xml:space="preserve">R-0616</t>
  </si>
  <si>
    <t xml:space="preserve">S-0296</t>
  </si>
  <si>
    <t xml:space="preserve">R-0617</t>
  </si>
  <si>
    <t xml:space="preserve">S-0297</t>
  </si>
  <si>
    <t xml:space="preserve">R-0618</t>
  </si>
  <si>
    <t xml:space="preserve">S-0298</t>
  </si>
  <si>
    <t xml:space="preserve">R-0619</t>
  </si>
  <si>
    <t xml:space="preserve">S-0299</t>
  </si>
  <si>
    <t xml:space="preserve">R-0620</t>
  </si>
  <si>
    <t xml:space="preserve">S-0300</t>
  </si>
  <si>
    <t xml:space="preserve">R-0621</t>
  </si>
  <si>
    <t xml:space="preserve">S-0301</t>
  </si>
  <si>
    <t xml:space="preserve">R-0622</t>
  </si>
  <si>
    <t xml:space="preserve">S-0302</t>
  </si>
  <si>
    <t xml:space="preserve">R-0623</t>
  </si>
  <si>
    <t xml:space="preserve">S-0303</t>
  </si>
  <si>
    <t xml:space="preserve">R-0624</t>
  </si>
  <si>
    <t xml:space="preserve">S-0304</t>
  </si>
  <si>
    <t xml:space="preserve">R-0625</t>
  </si>
  <si>
    <t xml:space="preserve">S-0305</t>
  </si>
  <si>
    <t xml:space="preserve">R-0626</t>
  </si>
  <si>
    <t xml:space="preserve">S-0306</t>
  </si>
  <si>
    <t xml:space="preserve">R-0627</t>
  </si>
  <si>
    <t xml:space="preserve">S-0307</t>
  </si>
  <si>
    <t xml:space="preserve">R-0628</t>
  </si>
  <si>
    <t xml:space="preserve">S-0308</t>
  </si>
  <si>
    <t xml:space="preserve">R-0629</t>
  </si>
  <si>
    <t xml:space="preserve">S-0309</t>
  </si>
  <si>
    <t xml:space="preserve">R-0630</t>
  </si>
  <si>
    <t xml:space="preserve">S-0310</t>
  </si>
  <si>
    <t xml:space="preserve">R-0631</t>
  </si>
  <si>
    <t xml:space="preserve">S-0311</t>
  </si>
  <si>
    <t xml:space="preserve">R-0632</t>
  </si>
  <si>
    <t xml:space="preserve">S-0312</t>
  </si>
  <si>
    <t xml:space="preserve">R-0633</t>
  </si>
  <si>
    <t xml:space="preserve">S-0313</t>
  </si>
  <si>
    <t xml:space="preserve">R-0634</t>
  </si>
  <si>
    <t xml:space="preserve">S-0314</t>
  </si>
  <si>
    <t xml:space="preserve">R-0635</t>
  </si>
  <si>
    <t xml:space="preserve">S-0315</t>
  </si>
  <si>
    <t xml:space="preserve">R-0636</t>
  </si>
  <si>
    <t xml:space="preserve">S-0316</t>
  </si>
  <si>
    <t xml:space="preserve">R-0637</t>
  </si>
  <si>
    <t xml:space="preserve">S-0317</t>
  </si>
  <si>
    <t xml:space="preserve">R-0638</t>
  </si>
  <si>
    <t xml:space="preserve">S-0318</t>
  </si>
  <si>
    <t xml:space="preserve">R-0639</t>
  </si>
  <si>
    <t xml:space="preserve">S-0319</t>
  </si>
  <si>
    <t xml:space="preserve">R-0640</t>
  </si>
  <si>
    <t xml:space="preserve">S-0320</t>
  </si>
  <si>
    <t xml:space="preserve">R-0641</t>
  </si>
  <si>
    <t xml:space="preserve">S-0321</t>
  </si>
  <si>
    <t xml:space="preserve">R-0642</t>
  </si>
  <si>
    <t xml:space="preserve">S-0322</t>
  </si>
  <si>
    <t xml:space="preserve">R-0643</t>
  </si>
  <si>
    <t xml:space="preserve">S-0323</t>
  </si>
  <si>
    <t xml:space="preserve">R-0644</t>
  </si>
  <si>
    <t xml:space="preserve">S-0324</t>
  </si>
  <si>
    <t xml:space="preserve">R-0645</t>
  </si>
  <si>
    <t xml:space="preserve">S-0325</t>
  </si>
  <si>
    <t xml:space="preserve">R-0646</t>
  </si>
  <si>
    <t xml:space="preserve">S-0326</t>
  </si>
  <si>
    <t xml:space="preserve">R-0647</t>
  </si>
  <si>
    <t xml:space="preserve">S-0327</t>
  </si>
  <si>
    <t xml:space="preserve">R-0648</t>
  </si>
  <si>
    <t xml:space="preserve">S-0328</t>
  </si>
  <si>
    <t xml:space="preserve">R-0649</t>
  </si>
  <si>
    <t xml:space="preserve">S-0329</t>
  </si>
  <si>
    <t xml:space="preserve">R-0650</t>
  </si>
  <si>
    <t xml:space="preserve">S-0330</t>
  </si>
  <si>
    <t xml:space="preserve">R-0651</t>
  </si>
  <si>
    <t xml:space="preserve">S-0331</t>
  </si>
  <si>
    <t xml:space="preserve">R-0652</t>
  </si>
  <si>
    <t xml:space="preserve">S-0332</t>
  </si>
  <si>
    <t xml:space="preserve">R-0653</t>
  </si>
  <si>
    <t xml:space="preserve">S-0333</t>
  </si>
  <si>
    <t xml:space="preserve">R-0654</t>
  </si>
  <si>
    <t xml:space="preserve">S-0334</t>
  </si>
  <si>
    <t xml:space="preserve">R-0655</t>
  </si>
  <si>
    <t xml:space="preserve">S-0335</t>
  </si>
  <si>
    <t xml:space="preserve">R-0656</t>
  </si>
  <si>
    <t xml:space="preserve">S-0336</t>
  </si>
  <si>
    <t xml:space="preserve">R-0657</t>
  </si>
  <si>
    <t xml:space="preserve">S-0337</t>
  </si>
  <si>
    <t xml:space="preserve">R-0658</t>
  </si>
  <si>
    <t xml:space="preserve">S-0338</t>
  </si>
  <si>
    <t xml:space="preserve">R-0659</t>
  </si>
  <si>
    <t xml:space="preserve">S-0339</t>
  </si>
  <si>
    <t xml:space="preserve">R-0660</t>
  </si>
  <si>
    <t xml:space="preserve">S-0340</t>
  </si>
  <si>
    <t xml:space="preserve">violation_id</t>
  </si>
  <si>
    <t xml:space="preserve">date</t>
  </si>
  <si>
    <t xml:space="preserve">category</t>
  </si>
  <si>
    <t xml:space="preserve">severity</t>
  </si>
  <si>
    <t xml:space="preserve">sanction_issued</t>
  </si>
  <si>
    <t xml:space="preserve">recorded_by</t>
  </si>
  <si>
    <t xml:space="preserve">V-00001</t>
  </si>
  <si>
    <t xml:space="preserve">Improper uniform</t>
  </si>
  <si>
    <t xml:space="preserve">Minor</t>
  </si>
  <si>
    <t xml:space="preserve">Yes</t>
  </si>
  <si>
    <t xml:space="preserve">Teacher</t>
  </si>
  <si>
    <t xml:space="preserve">V-00002</t>
  </si>
  <si>
    <t xml:space="preserve">Tardiness</t>
  </si>
  <si>
    <t xml:space="preserve">OSA</t>
  </si>
  <si>
    <t xml:space="preserve">V-00003</t>
  </si>
  <si>
    <t xml:space="preserve">Theft</t>
  </si>
  <si>
    <t xml:space="preserve">Major</t>
  </si>
  <si>
    <t xml:space="preserve">V-00004</t>
  </si>
  <si>
    <t xml:space="preserve">V-00005</t>
  </si>
  <si>
    <t xml:space="preserve">Bullying</t>
  </si>
  <si>
    <t xml:space="preserve">V-00006</t>
  </si>
  <si>
    <t xml:space="preserve">Use of phone in class</t>
  </si>
  <si>
    <t xml:space="preserve">V-00007</t>
  </si>
  <si>
    <t xml:space="preserve">V-00008</t>
  </si>
  <si>
    <t xml:space="preserve">V-00009</t>
  </si>
  <si>
    <t xml:space="preserve">V-00010</t>
  </si>
  <si>
    <t xml:space="preserve">No</t>
  </si>
  <si>
    <t xml:space="preserve">V-00011</t>
  </si>
  <si>
    <t xml:space="preserve">V-00012</t>
  </si>
  <si>
    <t xml:space="preserve">V-00013</t>
  </si>
  <si>
    <t xml:space="preserve">V-00014</t>
  </si>
  <si>
    <t xml:space="preserve">Littering</t>
  </si>
  <si>
    <t xml:space="preserve">V-00015</t>
  </si>
  <si>
    <t xml:space="preserve">V-00016</t>
  </si>
  <si>
    <t xml:space="preserve">Administrator</t>
  </si>
  <si>
    <t xml:space="preserve">V-00017</t>
  </si>
  <si>
    <t xml:space="preserve">Cheating</t>
  </si>
  <si>
    <t xml:space="preserve">V-00018</t>
  </si>
  <si>
    <t xml:space="preserve">V-00019</t>
  </si>
  <si>
    <t xml:space="preserve">V-00020</t>
  </si>
  <si>
    <t xml:space="preserve">Vandalism</t>
  </si>
  <si>
    <t xml:space="preserve">V-00021</t>
  </si>
  <si>
    <t xml:space="preserve">Disruptive behavior</t>
  </si>
  <si>
    <t xml:space="preserve">V-00022</t>
  </si>
  <si>
    <t xml:space="preserve">V-00023</t>
  </si>
  <si>
    <t xml:space="preserve">V-00024</t>
  </si>
  <si>
    <t xml:space="preserve">V-00025</t>
  </si>
  <si>
    <t xml:space="preserve">V-00026</t>
  </si>
  <si>
    <t xml:space="preserve">V-00027</t>
  </si>
  <si>
    <t xml:space="preserve">V-00028</t>
  </si>
  <si>
    <t xml:space="preserve">V-00029</t>
  </si>
  <si>
    <t xml:space="preserve">V-00030</t>
  </si>
  <si>
    <t xml:space="preserve">V-00031</t>
  </si>
  <si>
    <t xml:space="preserve">V-00032</t>
  </si>
  <si>
    <t xml:space="preserve">V-00033</t>
  </si>
  <si>
    <t xml:space="preserve">Fighting</t>
  </si>
  <si>
    <t xml:space="preserve">V-00034</t>
  </si>
  <si>
    <t xml:space="preserve">V-00035</t>
  </si>
  <si>
    <t xml:space="preserve">V-00036</t>
  </si>
  <si>
    <t xml:space="preserve">V-00037</t>
  </si>
  <si>
    <t xml:space="preserve">V-00038</t>
  </si>
  <si>
    <t xml:space="preserve">V-00039</t>
  </si>
  <si>
    <t xml:space="preserve">V-00040</t>
  </si>
  <si>
    <t xml:space="preserve">V-00041</t>
  </si>
  <si>
    <t xml:space="preserve">V-00042</t>
  </si>
  <si>
    <t xml:space="preserve">V-00043</t>
  </si>
  <si>
    <t xml:space="preserve">V-00044</t>
  </si>
  <si>
    <t xml:space="preserve">V-00045</t>
  </si>
  <si>
    <t xml:space="preserve">V-00046</t>
  </si>
  <si>
    <t xml:space="preserve">V-00047</t>
  </si>
  <si>
    <t xml:space="preserve">V-00048</t>
  </si>
  <si>
    <t xml:space="preserve">V-00049</t>
  </si>
  <si>
    <t xml:space="preserve">V-00050</t>
  </si>
  <si>
    <t xml:space="preserve">V-00051</t>
  </si>
  <si>
    <t xml:space="preserve">V-00052</t>
  </si>
  <si>
    <t xml:space="preserve">V-00053</t>
  </si>
  <si>
    <t xml:space="preserve">V-00054</t>
  </si>
  <si>
    <t xml:space="preserve">V-00055</t>
  </si>
  <si>
    <t xml:space="preserve">V-00056</t>
  </si>
  <si>
    <t xml:space="preserve">V-00057</t>
  </si>
  <si>
    <t xml:space="preserve">V-00058</t>
  </si>
  <si>
    <t xml:space="preserve">V-00059</t>
  </si>
  <si>
    <t xml:space="preserve">V-00060</t>
  </si>
  <si>
    <t xml:space="preserve">V-00061</t>
  </si>
  <si>
    <t xml:space="preserve">V-00062</t>
  </si>
  <si>
    <t xml:space="preserve">V-00063</t>
  </si>
  <si>
    <t xml:space="preserve">V-00064</t>
  </si>
  <si>
    <t xml:space="preserve">V-00065</t>
  </si>
  <si>
    <t xml:space="preserve">V-00066</t>
  </si>
  <si>
    <t xml:space="preserve">V-00067</t>
  </si>
  <si>
    <t xml:space="preserve">V-00068</t>
  </si>
  <si>
    <t xml:space="preserve">V-00069</t>
  </si>
  <si>
    <t xml:space="preserve">V-00070</t>
  </si>
  <si>
    <t xml:space="preserve">V-00071</t>
  </si>
  <si>
    <t xml:space="preserve">V-00072</t>
  </si>
  <si>
    <t xml:space="preserve">V-00073</t>
  </si>
  <si>
    <t xml:space="preserve">V-00074</t>
  </si>
  <si>
    <t xml:space="preserve">V-00075</t>
  </si>
  <si>
    <t xml:space="preserve">V-00076</t>
  </si>
  <si>
    <t xml:space="preserve">V-00077</t>
  </si>
  <si>
    <t xml:space="preserve">V-00078</t>
  </si>
  <si>
    <t xml:space="preserve">V-00079</t>
  </si>
  <si>
    <t xml:space="preserve">V-00080</t>
  </si>
  <si>
    <t xml:space="preserve">V-00081</t>
  </si>
  <si>
    <t xml:space="preserve">V-00082</t>
  </si>
  <si>
    <t xml:space="preserve">V-00083</t>
  </si>
  <si>
    <t xml:space="preserve">V-00084</t>
  </si>
  <si>
    <t xml:space="preserve">V-00085</t>
  </si>
  <si>
    <t xml:space="preserve">V-00086</t>
  </si>
  <si>
    <t xml:space="preserve">V-00087</t>
  </si>
  <si>
    <t xml:space="preserve">V-00088</t>
  </si>
  <si>
    <t xml:space="preserve">V-00089</t>
  </si>
  <si>
    <t xml:space="preserve">V-00090</t>
  </si>
  <si>
    <t xml:space="preserve">V-00091</t>
  </si>
  <si>
    <t xml:space="preserve">V-00092</t>
  </si>
  <si>
    <t xml:space="preserve">V-00093</t>
  </si>
  <si>
    <t xml:space="preserve">V-00094</t>
  </si>
  <si>
    <t xml:space="preserve">V-00095</t>
  </si>
  <si>
    <t xml:space="preserve">V-00096</t>
  </si>
  <si>
    <t xml:space="preserve">V-00097</t>
  </si>
  <si>
    <t xml:space="preserve">V-00098</t>
  </si>
  <si>
    <t xml:space="preserve">V-00099</t>
  </si>
  <si>
    <t xml:space="preserve">V-00100</t>
  </si>
  <si>
    <t xml:space="preserve">V-00101</t>
  </si>
  <si>
    <t xml:space="preserve">V-00102</t>
  </si>
  <si>
    <t xml:space="preserve">V-00103</t>
  </si>
  <si>
    <t xml:space="preserve">V-00104</t>
  </si>
  <si>
    <t xml:space="preserve">V-00105</t>
  </si>
  <si>
    <t xml:space="preserve">V-00106</t>
  </si>
  <si>
    <t xml:space="preserve">V-00107</t>
  </si>
  <si>
    <t xml:space="preserve">V-00108</t>
  </si>
  <si>
    <t xml:space="preserve">V-00109</t>
  </si>
  <si>
    <t xml:space="preserve">V-00110</t>
  </si>
  <si>
    <t xml:space="preserve">V-00111</t>
  </si>
  <si>
    <t xml:space="preserve">V-00112</t>
  </si>
  <si>
    <t xml:space="preserve">V-00113</t>
  </si>
  <si>
    <t xml:space="preserve">V-00114</t>
  </si>
  <si>
    <t xml:space="preserve">V-00115</t>
  </si>
  <si>
    <t xml:space="preserve">V-00116</t>
  </si>
  <si>
    <t xml:space="preserve">V-00117</t>
  </si>
  <si>
    <t xml:space="preserve">V-00118</t>
  </si>
  <si>
    <t xml:space="preserve">V-00119</t>
  </si>
  <si>
    <t xml:space="preserve">V-00120</t>
  </si>
  <si>
    <t xml:space="preserve">V-00121</t>
  </si>
  <si>
    <t xml:space="preserve">V-00122</t>
  </si>
  <si>
    <t xml:space="preserve">V-00123</t>
  </si>
  <si>
    <t xml:space="preserve">V-00124</t>
  </si>
  <si>
    <t xml:space="preserve">V-00125</t>
  </si>
  <si>
    <t xml:space="preserve">V-00126</t>
  </si>
  <si>
    <t xml:space="preserve">V-00127</t>
  </si>
  <si>
    <t xml:space="preserve">V-00128</t>
  </si>
  <si>
    <t xml:space="preserve">V-00129</t>
  </si>
  <si>
    <t xml:space="preserve">V-00130</t>
  </si>
  <si>
    <t xml:space="preserve">V-00131</t>
  </si>
  <si>
    <t xml:space="preserve">V-00132</t>
  </si>
  <si>
    <t xml:space="preserve">V-00133</t>
  </si>
  <si>
    <t xml:space="preserve">V-00134</t>
  </si>
  <si>
    <t xml:space="preserve">V-00135</t>
  </si>
  <si>
    <t xml:space="preserve">V-00136</t>
  </si>
  <si>
    <t xml:space="preserve">V-00137</t>
  </si>
  <si>
    <t xml:space="preserve">V-00138</t>
  </si>
  <si>
    <t xml:space="preserve">V-00139</t>
  </si>
  <si>
    <t xml:space="preserve">V-00140</t>
  </si>
  <si>
    <t xml:space="preserve">V-00141</t>
  </si>
  <si>
    <t xml:space="preserve">V-00142</t>
  </si>
  <si>
    <t xml:space="preserve">V-00143</t>
  </si>
  <si>
    <t xml:space="preserve">V-00144</t>
  </si>
  <si>
    <t xml:space="preserve">V-00145</t>
  </si>
  <si>
    <t xml:space="preserve">V-00146</t>
  </si>
  <si>
    <t xml:space="preserve">V-00147</t>
  </si>
  <si>
    <t xml:space="preserve">V-00148</t>
  </si>
  <si>
    <t xml:space="preserve">V-00149</t>
  </si>
  <si>
    <t xml:space="preserve">V-00150</t>
  </si>
  <si>
    <t xml:space="preserve">V-00151</t>
  </si>
  <si>
    <t xml:space="preserve">V-00152</t>
  </si>
  <si>
    <t xml:space="preserve">V-00153</t>
  </si>
  <si>
    <t xml:space="preserve">V-00154</t>
  </si>
  <si>
    <t xml:space="preserve">V-00155</t>
  </si>
  <si>
    <t xml:space="preserve">V-00156</t>
  </si>
  <si>
    <t xml:space="preserve">V-00157</t>
  </si>
  <si>
    <t xml:space="preserve">V-00158</t>
  </si>
  <si>
    <t xml:space="preserve">V-00159</t>
  </si>
  <si>
    <t xml:space="preserve">V-00160</t>
  </si>
  <si>
    <t xml:space="preserve">V-00161</t>
  </si>
  <si>
    <t xml:space="preserve">V-00162</t>
  </si>
  <si>
    <t xml:space="preserve">V-00163</t>
  </si>
  <si>
    <t xml:space="preserve">V-00164</t>
  </si>
  <si>
    <t xml:space="preserve">V-00165</t>
  </si>
  <si>
    <t xml:space="preserve">V-00166</t>
  </si>
  <si>
    <t xml:space="preserve">V-00167</t>
  </si>
  <si>
    <t xml:space="preserve">V-00168</t>
  </si>
  <si>
    <t xml:space="preserve">V-00169</t>
  </si>
  <si>
    <t xml:space="preserve">V-00170</t>
  </si>
  <si>
    <t xml:space="preserve">V-00171</t>
  </si>
  <si>
    <t xml:space="preserve">V-00172</t>
  </si>
  <si>
    <t xml:space="preserve">V-00173</t>
  </si>
  <si>
    <t xml:space="preserve">V-00174</t>
  </si>
  <si>
    <t xml:space="preserve">V-00175</t>
  </si>
  <si>
    <t xml:space="preserve">V-00176</t>
  </si>
  <si>
    <t xml:space="preserve">V-00177</t>
  </si>
  <si>
    <t xml:space="preserve">V-00178</t>
  </si>
  <si>
    <t xml:space="preserve">V-00179</t>
  </si>
  <si>
    <t xml:space="preserve">V-00180</t>
  </si>
  <si>
    <t xml:space="preserve">V-00181</t>
  </si>
  <si>
    <t xml:space="preserve">V-00182</t>
  </si>
  <si>
    <t xml:space="preserve">V-00183</t>
  </si>
  <si>
    <t xml:space="preserve">V-00184</t>
  </si>
  <si>
    <t xml:space="preserve">V-00185</t>
  </si>
  <si>
    <t xml:space="preserve">V-00186</t>
  </si>
  <si>
    <t xml:space="preserve">V-00187</t>
  </si>
  <si>
    <t xml:space="preserve">V-00188</t>
  </si>
  <si>
    <t xml:space="preserve">V-00189</t>
  </si>
  <si>
    <t xml:space="preserve">V-00190</t>
  </si>
  <si>
    <t xml:space="preserve">V-00191</t>
  </si>
  <si>
    <t xml:space="preserve">V-00192</t>
  </si>
  <si>
    <t xml:space="preserve">V-00193</t>
  </si>
  <si>
    <t xml:space="preserve">V-00194</t>
  </si>
  <si>
    <t xml:space="preserve">V-00195</t>
  </si>
  <si>
    <t xml:space="preserve">V-00196</t>
  </si>
  <si>
    <t xml:space="preserve">V-00197</t>
  </si>
  <si>
    <t xml:space="preserve">V-00198</t>
  </si>
  <si>
    <t xml:space="preserve">V-00199</t>
  </si>
  <si>
    <t xml:space="preserve">V-00200</t>
  </si>
  <si>
    <t xml:space="preserve">V-00201</t>
  </si>
  <si>
    <t xml:space="preserve">V-00202</t>
  </si>
  <si>
    <t xml:space="preserve">V-00203</t>
  </si>
  <si>
    <t xml:space="preserve">V-00204</t>
  </si>
  <si>
    <t xml:space="preserve">V-00205</t>
  </si>
  <si>
    <t xml:space="preserve">V-00206</t>
  </si>
  <si>
    <t xml:space="preserve">V-00207</t>
  </si>
  <si>
    <t xml:space="preserve">V-00208</t>
  </si>
  <si>
    <t xml:space="preserve">V-00209</t>
  </si>
  <si>
    <t xml:space="preserve">V-00210</t>
  </si>
  <si>
    <t xml:space="preserve">V-00211</t>
  </si>
  <si>
    <t xml:space="preserve">V-00212</t>
  </si>
  <si>
    <t xml:space="preserve">V-00213</t>
  </si>
  <si>
    <t xml:space="preserve">V-00214</t>
  </si>
  <si>
    <t xml:space="preserve">V-00215</t>
  </si>
  <si>
    <t xml:space="preserve">V-00216</t>
  </si>
  <si>
    <t xml:space="preserve">V-00217</t>
  </si>
  <si>
    <t xml:space="preserve">V-00218</t>
  </si>
  <si>
    <t xml:space="preserve">V-00219</t>
  </si>
  <si>
    <t xml:space="preserve">V-00220</t>
  </si>
  <si>
    <t xml:space="preserve">V-00221</t>
  </si>
  <si>
    <t xml:space="preserve">V-00222</t>
  </si>
  <si>
    <t xml:space="preserve">V-00223</t>
  </si>
  <si>
    <t xml:space="preserve">V-00224</t>
  </si>
  <si>
    <t xml:space="preserve">V-00225</t>
  </si>
  <si>
    <t xml:space="preserve">V-00226</t>
  </si>
  <si>
    <t xml:space="preserve">V-00227</t>
  </si>
  <si>
    <t xml:space="preserve">V-00228</t>
  </si>
  <si>
    <t xml:space="preserve">V-00229</t>
  </si>
  <si>
    <t xml:space="preserve">V-00230</t>
  </si>
  <si>
    <t xml:space="preserve">V-00231</t>
  </si>
  <si>
    <t xml:space="preserve">V-00232</t>
  </si>
  <si>
    <t xml:space="preserve">V-00233</t>
  </si>
  <si>
    <t xml:space="preserve">V-00234</t>
  </si>
  <si>
    <t xml:space="preserve">V-00235</t>
  </si>
  <si>
    <t xml:space="preserve">V-00236</t>
  </si>
  <si>
    <t xml:space="preserve">V-00237</t>
  </si>
  <si>
    <t xml:space="preserve">V-00238</t>
  </si>
  <si>
    <t xml:space="preserve">V-00239</t>
  </si>
  <si>
    <t xml:space="preserve">V-00240</t>
  </si>
  <si>
    <t xml:space="preserve">V-00241</t>
  </si>
  <si>
    <t xml:space="preserve">V-00242</t>
  </si>
  <si>
    <t xml:space="preserve">V-00243</t>
  </si>
  <si>
    <t xml:space="preserve">V-00244</t>
  </si>
  <si>
    <t xml:space="preserve">V-00245</t>
  </si>
  <si>
    <t xml:space="preserve">V-00246</t>
  </si>
  <si>
    <t xml:space="preserve">V-00247</t>
  </si>
  <si>
    <t xml:space="preserve">V-00248</t>
  </si>
  <si>
    <t xml:space="preserve">V-00249</t>
  </si>
  <si>
    <t xml:space="preserve">V-00250</t>
  </si>
  <si>
    <t xml:space="preserve">V-00251</t>
  </si>
  <si>
    <t xml:space="preserve">V-00252</t>
  </si>
  <si>
    <t xml:space="preserve">V-00253</t>
  </si>
  <si>
    <t xml:space="preserve">V-00254</t>
  </si>
  <si>
    <t xml:space="preserve">V-00255</t>
  </si>
  <si>
    <t xml:space="preserve">V-00256</t>
  </si>
  <si>
    <t xml:space="preserve">V-00257</t>
  </si>
  <si>
    <t xml:space="preserve">V-00258</t>
  </si>
  <si>
    <t xml:space="preserve">V-00259</t>
  </si>
  <si>
    <t xml:space="preserve">V-00260</t>
  </si>
  <si>
    <t xml:space="preserve">V-00261</t>
  </si>
  <si>
    <t xml:space="preserve">V-00262</t>
  </si>
  <si>
    <t xml:space="preserve">V-00263</t>
  </si>
  <si>
    <t xml:space="preserve">V-00264</t>
  </si>
  <si>
    <t xml:space="preserve">V-00265</t>
  </si>
  <si>
    <t xml:space="preserve">V-00266</t>
  </si>
  <si>
    <t xml:space="preserve">V-00267</t>
  </si>
  <si>
    <t xml:space="preserve">V-00268</t>
  </si>
  <si>
    <t xml:space="preserve">V-00269</t>
  </si>
  <si>
    <t xml:space="preserve">V-00270</t>
  </si>
  <si>
    <t xml:space="preserve">V-00271</t>
  </si>
  <si>
    <t xml:space="preserve">V-00272</t>
  </si>
  <si>
    <t xml:space="preserve">V-00273</t>
  </si>
  <si>
    <t xml:space="preserve">V-00274</t>
  </si>
  <si>
    <t xml:space="preserve">V-00275</t>
  </si>
  <si>
    <t xml:space="preserve">V-00276</t>
  </si>
  <si>
    <t xml:space="preserve">V-00277</t>
  </si>
  <si>
    <t xml:space="preserve">V-00278</t>
  </si>
  <si>
    <t xml:space="preserve">V-00279</t>
  </si>
  <si>
    <t xml:space="preserve">V-00280</t>
  </si>
  <si>
    <t xml:space="preserve">V-00281</t>
  </si>
  <si>
    <t xml:space="preserve">V-00282</t>
  </si>
  <si>
    <t xml:space="preserve">V-00283</t>
  </si>
  <si>
    <t xml:space="preserve">V-00284</t>
  </si>
  <si>
    <t xml:space="preserve">V-00285</t>
  </si>
  <si>
    <t xml:space="preserve">V-00286</t>
  </si>
  <si>
    <t xml:space="preserve">V-00287</t>
  </si>
  <si>
    <t xml:space="preserve">V-00288</t>
  </si>
  <si>
    <t xml:space="preserve">V-00289</t>
  </si>
  <si>
    <t xml:space="preserve">V-00290</t>
  </si>
  <si>
    <t xml:space="preserve">V-00291</t>
  </si>
  <si>
    <t xml:space="preserve">V-00292</t>
  </si>
  <si>
    <t xml:space="preserve">V-00293</t>
  </si>
  <si>
    <t xml:space="preserve">V-00294</t>
  </si>
  <si>
    <t xml:space="preserve">V-00295</t>
  </si>
  <si>
    <t xml:space="preserve">V-00296</t>
  </si>
  <si>
    <t xml:space="preserve">V-00297</t>
  </si>
  <si>
    <t xml:space="preserve">V-00298</t>
  </si>
  <si>
    <t xml:space="preserve">V-00299</t>
  </si>
  <si>
    <t xml:space="preserve">V-00300</t>
  </si>
  <si>
    <t xml:space="preserve">V-00301</t>
  </si>
  <si>
    <t xml:space="preserve">V-00302</t>
  </si>
  <si>
    <t xml:space="preserve">V-00303</t>
  </si>
  <si>
    <t xml:space="preserve">V-00304</t>
  </si>
  <si>
    <t xml:space="preserve">V-00305</t>
  </si>
  <si>
    <t xml:space="preserve">V-00306</t>
  </si>
  <si>
    <t xml:space="preserve">V-00307</t>
  </si>
  <si>
    <t xml:space="preserve">V-00308</t>
  </si>
  <si>
    <t xml:space="preserve">V-00309</t>
  </si>
  <si>
    <t xml:space="preserve">V-00310</t>
  </si>
  <si>
    <t xml:space="preserve">V-00311</t>
  </si>
  <si>
    <t xml:space="preserve">V-00312</t>
  </si>
  <si>
    <t xml:space="preserve">V-00313</t>
  </si>
  <si>
    <t xml:space="preserve">V-00314</t>
  </si>
  <si>
    <t xml:space="preserve">V-00315</t>
  </si>
  <si>
    <t xml:space="preserve">V-00316</t>
  </si>
  <si>
    <t xml:space="preserve">V-00317</t>
  </si>
  <si>
    <t xml:space="preserve">V-00318</t>
  </si>
  <si>
    <t xml:space="preserve">V-00319</t>
  </si>
  <si>
    <t xml:space="preserve">V-00320</t>
  </si>
  <si>
    <t xml:space="preserve">V-00321</t>
  </si>
  <si>
    <t xml:space="preserve">V-00322</t>
  </si>
  <si>
    <t xml:space="preserve">V-00323</t>
  </si>
  <si>
    <t xml:space="preserve">V-00324</t>
  </si>
  <si>
    <t xml:space="preserve">V-00325</t>
  </si>
  <si>
    <t xml:space="preserve">V-00326</t>
  </si>
  <si>
    <t xml:space="preserve">V-00327</t>
  </si>
  <si>
    <t xml:space="preserve">V-00328</t>
  </si>
  <si>
    <t xml:space="preserve">V-00329</t>
  </si>
  <si>
    <t xml:space="preserve">V-00330</t>
  </si>
  <si>
    <t xml:space="preserve">V-00331</t>
  </si>
  <si>
    <t xml:space="preserve">V-00332</t>
  </si>
  <si>
    <t xml:space="preserve">V-00333</t>
  </si>
  <si>
    <t xml:space="preserve">V-00334</t>
  </si>
  <si>
    <t xml:space="preserve">V-00335</t>
  </si>
  <si>
    <t xml:space="preserve">V-00336</t>
  </si>
  <si>
    <t xml:space="preserve">V-00337</t>
  </si>
  <si>
    <t xml:space="preserve">V-00338</t>
  </si>
  <si>
    <t xml:space="preserve">V-00339</t>
  </si>
  <si>
    <t xml:space="preserve">V-00340</t>
  </si>
  <si>
    <t xml:space="preserve">V-00341</t>
  </si>
  <si>
    <t xml:space="preserve">V-00342</t>
  </si>
  <si>
    <t xml:space="preserve">V-00343</t>
  </si>
  <si>
    <t xml:space="preserve">V-00344</t>
  </si>
  <si>
    <t xml:space="preserve">V-00345</t>
  </si>
  <si>
    <t xml:space="preserve">V-00346</t>
  </si>
  <si>
    <t xml:space="preserve">V-00347</t>
  </si>
  <si>
    <t xml:space="preserve">V-00348</t>
  </si>
  <si>
    <t xml:space="preserve">V-00349</t>
  </si>
  <si>
    <t xml:space="preserve">V-00350</t>
  </si>
  <si>
    <t xml:space="preserve">V-00351</t>
  </si>
  <si>
    <t xml:space="preserve">V-00352</t>
  </si>
  <si>
    <t xml:space="preserve">V-00353</t>
  </si>
  <si>
    <t xml:space="preserve">V-00354</t>
  </si>
  <si>
    <t xml:space="preserve">V-00355</t>
  </si>
  <si>
    <t xml:space="preserve">V-00356</t>
  </si>
  <si>
    <t xml:space="preserve">V-00357</t>
  </si>
  <si>
    <t xml:space="preserve">V-00358</t>
  </si>
  <si>
    <t xml:space="preserve">V-00359</t>
  </si>
  <si>
    <t xml:space="preserve">V-00360</t>
  </si>
  <si>
    <t xml:space="preserve">V-00361</t>
  </si>
  <si>
    <t xml:space="preserve">V-00362</t>
  </si>
  <si>
    <t xml:space="preserve">V-00363</t>
  </si>
  <si>
    <t xml:space="preserve">V-00364</t>
  </si>
  <si>
    <t xml:space="preserve">V-00365</t>
  </si>
  <si>
    <t xml:space="preserve">V-00366</t>
  </si>
  <si>
    <t xml:space="preserve">V-00367</t>
  </si>
  <si>
    <t xml:space="preserve">V-00368</t>
  </si>
  <si>
    <t xml:space="preserve">V-00369</t>
  </si>
  <si>
    <t xml:space="preserve">V-00370</t>
  </si>
  <si>
    <t xml:space="preserve">V-00371</t>
  </si>
  <si>
    <t xml:space="preserve">V-00372</t>
  </si>
  <si>
    <t xml:space="preserve">V-00373</t>
  </si>
  <si>
    <t xml:space="preserve">V-00374</t>
  </si>
  <si>
    <t xml:space="preserve">V-00375</t>
  </si>
  <si>
    <t xml:space="preserve">V-00376</t>
  </si>
  <si>
    <t xml:space="preserve">V-00377</t>
  </si>
  <si>
    <t xml:space="preserve">V-00378</t>
  </si>
  <si>
    <t xml:space="preserve">V-00379</t>
  </si>
  <si>
    <t xml:space="preserve">V-00380</t>
  </si>
  <si>
    <t xml:space="preserve">V-00381</t>
  </si>
  <si>
    <t xml:space="preserve">V-00382</t>
  </si>
  <si>
    <t xml:space="preserve">V-00383</t>
  </si>
  <si>
    <t xml:space="preserve">V-00384</t>
  </si>
  <si>
    <t xml:space="preserve">V-00385</t>
  </si>
  <si>
    <t xml:space="preserve">V-00386</t>
  </si>
  <si>
    <t xml:space="preserve">V-00387</t>
  </si>
  <si>
    <t xml:space="preserve">V-00388</t>
  </si>
  <si>
    <t xml:space="preserve">V-00389</t>
  </si>
  <si>
    <t xml:space="preserve">V-00390</t>
  </si>
  <si>
    <t xml:space="preserve">V-00391</t>
  </si>
  <si>
    <t xml:space="preserve">V-00392</t>
  </si>
  <si>
    <t xml:space="preserve">V-00393</t>
  </si>
  <si>
    <t xml:space="preserve">V-00394</t>
  </si>
  <si>
    <t xml:space="preserve">V-00395</t>
  </si>
  <si>
    <t xml:space="preserve">V-00396</t>
  </si>
  <si>
    <t xml:space="preserve">V-00397</t>
  </si>
  <si>
    <t xml:space="preserve">V-00398</t>
  </si>
  <si>
    <t xml:space="preserve">V-00399</t>
  </si>
  <si>
    <t xml:space="preserve">V-00400</t>
  </si>
  <si>
    <t xml:space="preserve">V-00401</t>
  </si>
  <si>
    <t xml:space="preserve">V-00402</t>
  </si>
  <si>
    <t xml:space="preserve">V-00403</t>
  </si>
  <si>
    <t xml:space="preserve">V-00404</t>
  </si>
  <si>
    <t xml:space="preserve">V-00405</t>
  </si>
  <si>
    <t xml:space="preserve">V-00406</t>
  </si>
  <si>
    <t xml:space="preserve">V-00407</t>
  </si>
  <si>
    <t xml:space="preserve">V-00408</t>
  </si>
  <si>
    <t xml:space="preserve">V-00409</t>
  </si>
  <si>
    <t xml:space="preserve">V-00410</t>
  </si>
  <si>
    <t xml:space="preserve">V-00411</t>
  </si>
  <si>
    <t xml:space="preserve">V-00412</t>
  </si>
  <si>
    <t xml:space="preserve">V-00413</t>
  </si>
  <si>
    <t xml:space="preserve">V-00414</t>
  </si>
  <si>
    <t xml:space="preserve">V-00415</t>
  </si>
  <si>
    <t xml:space="preserve">V-00416</t>
  </si>
  <si>
    <t xml:space="preserve">V-00417</t>
  </si>
  <si>
    <t xml:space="preserve">V-00418</t>
  </si>
  <si>
    <t xml:space="preserve">V-00419</t>
  </si>
  <si>
    <t xml:space="preserve">V-00420</t>
  </si>
  <si>
    <t xml:space="preserve">V-00421</t>
  </si>
  <si>
    <t xml:space="preserve">V-00422</t>
  </si>
  <si>
    <t xml:space="preserve">V-00423</t>
  </si>
  <si>
    <t xml:space="preserve">V-00424</t>
  </si>
  <si>
    <t xml:space="preserve">V-00425</t>
  </si>
  <si>
    <t xml:space="preserve">V-00426</t>
  </si>
  <si>
    <t xml:space="preserve">V-00427</t>
  </si>
  <si>
    <t xml:space="preserve">V-00428</t>
  </si>
  <si>
    <t xml:space="preserve">V-00429</t>
  </si>
  <si>
    <t xml:space="preserve">V-00430</t>
  </si>
  <si>
    <t xml:space="preserve">V-00431</t>
  </si>
  <si>
    <t xml:space="preserve">V-00432</t>
  </si>
  <si>
    <t xml:space="preserve">V-00433</t>
  </si>
  <si>
    <t xml:space="preserve">V-00434</t>
  </si>
  <si>
    <t xml:space="preserve">V-00435</t>
  </si>
  <si>
    <t xml:space="preserve">V-00436</t>
  </si>
  <si>
    <t xml:space="preserve">V-00437</t>
  </si>
  <si>
    <t xml:space="preserve">V-00438</t>
  </si>
  <si>
    <t xml:space="preserve">V-00439</t>
  </si>
  <si>
    <t xml:space="preserve">V-00440</t>
  </si>
  <si>
    <t xml:space="preserve">V-00441</t>
  </si>
  <si>
    <t xml:space="preserve">V-00442</t>
  </si>
  <si>
    <t xml:space="preserve">V-00443</t>
  </si>
  <si>
    <t xml:space="preserve">V-00444</t>
  </si>
  <si>
    <t xml:space="preserve">V-00445</t>
  </si>
  <si>
    <t xml:space="preserve">V-00446</t>
  </si>
  <si>
    <t xml:space="preserve">V-00447</t>
  </si>
  <si>
    <t xml:space="preserve">V-00448</t>
  </si>
  <si>
    <t xml:space="preserve">V-00449</t>
  </si>
  <si>
    <t xml:space="preserve">V-00450</t>
  </si>
  <si>
    <t xml:space="preserve">V-00451</t>
  </si>
  <si>
    <t xml:space="preserve">V-00452</t>
  </si>
  <si>
    <t xml:space="preserve">V-00453</t>
  </si>
  <si>
    <t xml:space="preserve">V-00454</t>
  </si>
  <si>
    <t xml:space="preserve">V-00455</t>
  </si>
  <si>
    <t xml:space="preserve">V-00456</t>
  </si>
  <si>
    <t xml:space="preserve">V-00457</t>
  </si>
  <si>
    <t xml:space="preserve">V-00458</t>
  </si>
  <si>
    <t xml:space="preserve">V-00459</t>
  </si>
  <si>
    <t xml:space="preserve">V-00460</t>
  </si>
  <si>
    <t xml:space="preserve">V-00461</t>
  </si>
  <si>
    <t xml:space="preserve">V-00462</t>
  </si>
  <si>
    <t xml:space="preserve">V-00463</t>
  </si>
  <si>
    <t xml:space="preserve">V-00464</t>
  </si>
  <si>
    <t xml:space="preserve">V-00465</t>
  </si>
  <si>
    <t xml:space="preserve">V-00466</t>
  </si>
  <si>
    <t xml:space="preserve">V-00467</t>
  </si>
  <si>
    <t xml:space="preserve">V-00468</t>
  </si>
  <si>
    <t xml:space="preserve">V-00469</t>
  </si>
  <si>
    <t xml:space="preserve">V-00470</t>
  </si>
  <si>
    <t xml:space="preserve">V-00471</t>
  </si>
  <si>
    <t xml:space="preserve">V-00472</t>
  </si>
  <si>
    <t xml:space="preserve">V-00473</t>
  </si>
  <si>
    <t xml:space="preserve">V-00474</t>
  </si>
  <si>
    <t xml:space="preserve">V-00475</t>
  </si>
  <si>
    <t xml:space="preserve">V-00476</t>
  </si>
  <si>
    <t xml:space="preserve">V-00477</t>
  </si>
  <si>
    <t xml:space="preserve">V-00478</t>
  </si>
  <si>
    <t xml:space="preserve">V-00479</t>
  </si>
  <si>
    <t xml:space="preserve">V-00480</t>
  </si>
  <si>
    <t xml:space="preserve">V-00481</t>
  </si>
  <si>
    <t xml:space="preserve">V-00482</t>
  </si>
  <si>
    <t xml:space="preserve">V-00483</t>
  </si>
  <si>
    <t xml:space="preserve">V-00484</t>
  </si>
  <si>
    <t xml:space="preserve">V-00485</t>
  </si>
  <si>
    <t xml:space="preserve">V-00486</t>
  </si>
  <si>
    <t xml:space="preserve">V-00487</t>
  </si>
  <si>
    <t xml:space="preserve">V-00488</t>
  </si>
  <si>
    <t xml:space="preserve">V-00489</t>
  </si>
  <si>
    <t xml:space="preserve">V-00490</t>
  </si>
  <si>
    <t xml:space="preserve">V-00491</t>
  </si>
  <si>
    <t xml:space="preserve">V-00492</t>
  </si>
  <si>
    <t xml:space="preserve">V-00493</t>
  </si>
  <si>
    <t xml:space="preserve">V-00494</t>
  </si>
  <si>
    <t xml:space="preserve">V-00495</t>
  </si>
  <si>
    <t xml:space="preserve">V-00496</t>
  </si>
  <si>
    <t xml:space="preserve">V-00497</t>
  </si>
  <si>
    <t xml:space="preserve">V-00498</t>
  </si>
  <si>
    <t xml:space="preserve">V-00499</t>
  </si>
  <si>
    <t xml:space="preserve">V-00500</t>
  </si>
  <si>
    <t xml:space="preserve">V-00501</t>
  </si>
  <si>
    <t xml:space="preserve">V-00502</t>
  </si>
  <si>
    <t xml:space="preserve">V-00503</t>
  </si>
  <si>
    <t xml:space="preserve">V-00504</t>
  </si>
  <si>
    <t xml:space="preserve">V-00505</t>
  </si>
  <si>
    <t xml:space="preserve">V-00506</t>
  </si>
  <si>
    <t xml:space="preserve">V-00507</t>
  </si>
  <si>
    <t xml:space="preserve">V-00508</t>
  </si>
  <si>
    <t xml:space="preserve">V-00509</t>
  </si>
  <si>
    <t xml:space="preserve">V-00510</t>
  </si>
  <si>
    <t xml:space="preserve">V-00511</t>
  </si>
  <si>
    <t xml:space="preserve">V-00512</t>
  </si>
  <si>
    <t xml:space="preserve">V-00513</t>
  </si>
  <si>
    <t xml:space="preserve">V-00514</t>
  </si>
  <si>
    <t xml:space="preserve">V-00515</t>
  </si>
  <si>
    <t xml:space="preserve">V-00516</t>
  </si>
  <si>
    <t xml:space="preserve">V-00517</t>
  </si>
  <si>
    <t xml:space="preserve">V-00518</t>
  </si>
  <si>
    <t xml:space="preserve">V-00519</t>
  </si>
  <si>
    <t xml:space="preserve">V-00520</t>
  </si>
  <si>
    <t xml:space="preserve">V-00521</t>
  </si>
  <si>
    <t xml:space="preserve">V-00522</t>
  </si>
  <si>
    <t xml:space="preserve">V-00523</t>
  </si>
  <si>
    <t xml:space="preserve">V-00524</t>
  </si>
  <si>
    <t xml:space="preserve">V-00525</t>
  </si>
  <si>
    <t xml:space="preserve">V-00526</t>
  </si>
  <si>
    <t xml:space="preserve">V-00527</t>
  </si>
  <si>
    <t xml:space="preserve">V-00528</t>
  </si>
  <si>
    <t xml:space="preserve">V-00529</t>
  </si>
  <si>
    <t xml:space="preserve">V-00530</t>
  </si>
  <si>
    <t xml:space="preserve">V-00531</t>
  </si>
  <si>
    <t xml:space="preserve">V-00532</t>
  </si>
  <si>
    <t xml:space="preserve">V-00533</t>
  </si>
  <si>
    <t xml:space="preserve">V-00534</t>
  </si>
  <si>
    <t xml:space="preserve">V-00535</t>
  </si>
  <si>
    <t xml:space="preserve">V-00536</t>
  </si>
  <si>
    <t xml:space="preserve">V-00537</t>
  </si>
  <si>
    <t xml:space="preserve">V-00538</t>
  </si>
  <si>
    <t xml:space="preserve">V-00539</t>
  </si>
  <si>
    <t xml:space="preserve">V-00540</t>
  </si>
  <si>
    <t xml:space="preserve">V-00541</t>
  </si>
  <si>
    <t xml:space="preserve">V-00542</t>
  </si>
  <si>
    <t xml:space="preserve">V-00543</t>
  </si>
  <si>
    <t xml:space="preserve">V-00544</t>
  </si>
  <si>
    <t xml:space="preserve">V-00545</t>
  </si>
  <si>
    <t xml:space="preserve">V-00546</t>
  </si>
  <si>
    <t xml:space="preserve">V-00547</t>
  </si>
  <si>
    <t xml:space="preserve">V-00548</t>
  </si>
  <si>
    <t xml:space="preserve">V-00549</t>
  </si>
  <si>
    <t xml:space="preserve">V-00550</t>
  </si>
  <si>
    <t xml:space="preserve">V-00551</t>
  </si>
  <si>
    <t xml:space="preserve">V-00552</t>
  </si>
  <si>
    <t xml:space="preserve">V-00553</t>
  </si>
  <si>
    <t xml:space="preserve">V-00554</t>
  </si>
  <si>
    <t xml:space="preserve">V-00555</t>
  </si>
  <si>
    <t xml:space="preserve">V-00556</t>
  </si>
  <si>
    <t xml:space="preserve">V-00557</t>
  </si>
  <si>
    <t xml:space="preserve">V-00558</t>
  </si>
  <si>
    <t xml:space="preserve">V-00559</t>
  </si>
  <si>
    <t xml:space="preserve">V-00560</t>
  </si>
  <si>
    <t xml:space="preserve">V-00561</t>
  </si>
  <si>
    <t xml:space="preserve">V-00562</t>
  </si>
  <si>
    <t xml:space="preserve">V-00563</t>
  </si>
  <si>
    <t xml:space="preserve">V-00564</t>
  </si>
  <si>
    <t xml:space="preserve">V-00565</t>
  </si>
  <si>
    <t xml:space="preserve">V-00566</t>
  </si>
  <si>
    <t xml:space="preserve">V-00567</t>
  </si>
  <si>
    <t xml:space="preserve">V-00568</t>
  </si>
  <si>
    <t xml:space="preserve">V-00569</t>
  </si>
  <si>
    <t xml:space="preserve">V-00570</t>
  </si>
  <si>
    <t xml:space="preserve">V-00571</t>
  </si>
  <si>
    <t xml:space="preserve">V-00572</t>
  </si>
  <si>
    <t xml:space="preserve">V-00573</t>
  </si>
  <si>
    <t xml:space="preserve">V-00574</t>
  </si>
  <si>
    <t xml:space="preserve">V-00575</t>
  </si>
  <si>
    <t xml:space="preserve">V-00576</t>
  </si>
  <si>
    <t xml:space="preserve">V-00577</t>
  </si>
  <si>
    <t xml:space="preserve">V-00578</t>
  </si>
  <si>
    <t xml:space="preserve">V-00579</t>
  </si>
  <si>
    <t xml:space="preserve">V-00580</t>
  </si>
  <si>
    <t xml:space="preserve">V-00581</t>
  </si>
  <si>
    <t xml:space="preserve">V-00582</t>
  </si>
  <si>
    <t xml:space="preserve">V-00583</t>
  </si>
  <si>
    <t xml:space="preserve">V-00584</t>
  </si>
  <si>
    <t xml:space="preserve">V-00585</t>
  </si>
  <si>
    <t xml:space="preserve">V-00586</t>
  </si>
  <si>
    <t xml:space="preserve">V-00587</t>
  </si>
  <si>
    <t xml:space="preserve">V-00588</t>
  </si>
  <si>
    <t xml:space="preserve">V-00589</t>
  </si>
  <si>
    <t xml:space="preserve">V-00590</t>
  </si>
  <si>
    <t xml:space="preserve">V-00591</t>
  </si>
  <si>
    <t xml:space="preserve">V-00592</t>
  </si>
  <si>
    <t xml:space="preserve">V-00593</t>
  </si>
  <si>
    <t xml:space="preserve">V-00594</t>
  </si>
  <si>
    <t xml:space="preserve">V-00595</t>
  </si>
  <si>
    <t xml:space="preserve">V-00596</t>
  </si>
  <si>
    <t xml:space="preserve">V-00597</t>
  </si>
  <si>
    <t xml:space="preserve">V-00598</t>
  </si>
  <si>
    <t xml:space="preserve">V-00599</t>
  </si>
  <si>
    <t xml:space="preserve">V-00600</t>
  </si>
  <si>
    <t xml:space="preserve">V-00601</t>
  </si>
  <si>
    <t xml:space="preserve">V-00602</t>
  </si>
  <si>
    <t xml:space="preserve">V-00603</t>
  </si>
  <si>
    <t xml:space="preserve">V-00604</t>
  </si>
  <si>
    <t xml:space="preserve">V-00605</t>
  </si>
  <si>
    <t xml:space="preserve">V-00606</t>
  </si>
  <si>
    <t xml:space="preserve">V-00607</t>
  </si>
  <si>
    <t xml:space="preserve">V-00608</t>
  </si>
  <si>
    <t xml:space="preserve">V-00609</t>
  </si>
  <si>
    <t xml:space="preserve">V-00610</t>
  </si>
  <si>
    <t xml:space="preserve">V-00611</t>
  </si>
  <si>
    <t xml:space="preserve">V-00612</t>
  </si>
  <si>
    <t xml:space="preserve">V-00613</t>
  </si>
  <si>
    <t xml:space="preserve">V-00614</t>
  </si>
  <si>
    <t xml:space="preserve">V-00615</t>
  </si>
  <si>
    <t xml:space="preserve">V-00616</t>
  </si>
  <si>
    <t xml:space="preserve">V-00617</t>
  </si>
  <si>
    <t xml:space="preserve">V-00618</t>
  </si>
  <si>
    <t xml:space="preserve">V-00619</t>
  </si>
  <si>
    <t xml:space="preserve">V-00620</t>
  </si>
  <si>
    <t xml:space="preserve">V-00621</t>
  </si>
  <si>
    <t xml:space="preserve">V-00622</t>
  </si>
  <si>
    <t xml:space="preserve">V-00623</t>
  </si>
  <si>
    <t xml:space="preserve">Academic year</t>
  </si>
  <si>
    <t xml:space="preserve">Low</t>
  </si>
  <si>
    <t xml:space="preserve">Medium</t>
  </si>
  <si>
    <t xml:space="preserve">High</t>
  </si>
  <si>
    <t xml:space="preserve">Unlabeled</t>
  </si>
  <si>
    <t xml:space="preserve">Total records</t>
  </si>
  <si>
    <t xml:space="preserve">Total</t>
  </si>
  <si>
    <t xml:space="preserve">Violation records (all years)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</si>
</sst>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4683A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62F2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4683A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468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4683A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62F2F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4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4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7" min="6" style="0" width="18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18"/>
    <col collapsed="false" customWidth="true" hidden="false" outlineLevel="0" max="12" min="12" style="0" width="14"/>
    <col collapsed="false" customWidth="true" hidden="false" outlineLevel="0" max="13" min="13" style="0" width="12"/>
  </cols>
  <sheetData>
    <row r="1" customFormat="false" ht="23.85" hidden="false" customHeight="false" outlineLevel="0" collapsed="false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  <c r="I1" s="5" t="s">
        <v>23</v>
      </c>
      <c r="J1" s="5" t="s">
        <v>24</v>
      </c>
      <c r="K1" s="5" t="s">
        <v>25</v>
      </c>
      <c r="L1" s="5" t="s">
        <v>26</v>
      </c>
      <c r="M1" s="5" t="s">
        <v>27</v>
      </c>
    </row>
    <row r="2" customFormat="false" ht="15" hidden="false" customHeight="false" outlineLevel="0" collapsed="false">
      <c r="A2" s="2" t="s">
        <v>28</v>
      </c>
      <c r="B2" s="2" t="s">
        <v>29</v>
      </c>
      <c r="C2" s="2" t="s">
        <v>30</v>
      </c>
      <c r="D2" s="6" t="n">
        <v>45443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n">
        <v>3</v>
      </c>
      <c r="M2" s="2" t="str">
        <f aca="false">IF(L2="","",IF(L2=0,"Low",IF(L2=1,"Medium","High")))</f>
        <v>High</v>
      </c>
    </row>
    <row r="3" customFormat="false" ht="15" hidden="false" customHeight="false" outlineLevel="0" collapsed="false">
      <c r="A3" s="2" t="s">
        <v>38</v>
      </c>
      <c r="B3" s="2" t="s">
        <v>29</v>
      </c>
      <c r="C3" s="2" t="s">
        <v>39</v>
      </c>
      <c r="D3" s="6" t="n">
        <v>45808</v>
      </c>
      <c r="E3" s="2" t="s">
        <v>40</v>
      </c>
      <c r="F3" s="2" t="s">
        <v>41</v>
      </c>
      <c r="G3" s="2" t="s">
        <v>42</v>
      </c>
      <c r="H3" s="2" t="s">
        <v>43</v>
      </c>
      <c r="I3" s="2" t="s">
        <v>35</v>
      </c>
      <c r="J3" s="2" t="s">
        <v>44</v>
      </c>
      <c r="K3" s="2" t="s">
        <v>45</v>
      </c>
      <c r="L3" s="2" t="n">
        <v>3</v>
      </c>
      <c r="M3" s="2" t="str">
        <f aca="false">IF(L3="","",IF(L3=0,"Low",IF(L3=1,"Medium","High")))</f>
        <v>High</v>
      </c>
    </row>
    <row r="4" customFormat="false" ht="15" hidden="false" customHeight="false" outlineLevel="0" collapsed="false">
      <c r="A4" s="2" t="s">
        <v>46</v>
      </c>
      <c r="B4" s="2" t="s">
        <v>29</v>
      </c>
      <c r="C4" s="2" t="s">
        <v>47</v>
      </c>
      <c r="D4" s="6" t="n">
        <v>46173</v>
      </c>
      <c r="E4" s="2" t="s">
        <v>40</v>
      </c>
      <c r="F4" s="2" t="s">
        <v>41</v>
      </c>
      <c r="G4" s="2" t="s">
        <v>48</v>
      </c>
      <c r="H4" s="2" t="s">
        <v>49</v>
      </c>
      <c r="I4" s="2" t="s">
        <v>35</v>
      </c>
      <c r="J4" s="2" t="s">
        <v>44</v>
      </c>
      <c r="K4" s="2" t="s">
        <v>45</v>
      </c>
      <c r="L4" s="2"/>
      <c r="M4" s="2" t="str">
        <f aca="false">IF(L4="","",IF(L4=0,"Low",IF(L4=1,"Medium","High")))</f>
        <v/>
      </c>
    </row>
    <row r="5" customFormat="false" ht="15" hidden="false" customHeight="false" outlineLevel="0" collapsed="false">
      <c r="A5" s="2" t="s">
        <v>50</v>
      </c>
      <c r="B5" s="2" t="s">
        <v>51</v>
      </c>
      <c r="C5" s="2" t="s">
        <v>30</v>
      </c>
      <c r="D5" s="6" t="n">
        <v>45443</v>
      </c>
      <c r="E5" s="2" t="s">
        <v>31</v>
      </c>
      <c r="F5" s="2" t="s">
        <v>32</v>
      </c>
      <c r="G5" s="2" t="s">
        <v>33</v>
      </c>
      <c r="H5" s="2" t="s">
        <v>52</v>
      </c>
      <c r="I5" s="2" t="s">
        <v>53</v>
      </c>
      <c r="J5" s="2" t="s">
        <v>36</v>
      </c>
      <c r="K5" s="2" t="s">
        <v>37</v>
      </c>
      <c r="L5" s="2"/>
      <c r="M5" s="2" t="str">
        <f aca="false">IF(L5="","",IF(L5=0,"Low",IF(L5=1,"Medium","High")))</f>
        <v/>
      </c>
    </row>
    <row r="6" customFormat="false" ht="15" hidden="false" customHeight="false" outlineLevel="0" collapsed="false">
      <c r="A6" s="2" t="s">
        <v>54</v>
      </c>
      <c r="B6" s="2" t="s">
        <v>55</v>
      </c>
      <c r="C6" s="2" t="s">
        <v>30</v>
      </c>
      <c r="D6" s="6" t="n">
        <v>45443</v>
      </c>
      <c r="E6" s="2" t="s">
        <v>31</v>
      </c>
      <c r="F6" s="2" t="s">
        <v>56</v>
      </c>
      <c r="G6" s="2" t="s">
        <v>33</v>
      </c>
      <c r="H6" s="2" t="s">
        <v>52</v>
      </c>
      <c r="I6" s="2" t="s">
        <v>35</v>
      </c>
      <c r="J6" s="2" t="s">
        <v>36</v>
      </c>
      <c r="K6" s="2" t="s">
        <v>57</v>
      </c>
      <c r="L6" s="2"/>
      <c r="M6" s="2" t="str">
        <f aca="false">IF(L6="","",IF(L6=0,"Low",IF(L6=1,"Medium","High")))</f>
        <v/>
      </c>
    </row>
    <row r="7" customFormat="false" ht="15" hidden="false" customHeight="false" outlineLevel="0" collapsed="false">
      <c r="A7" s="2" t="s">
        <v>58</v>
      </c>
      <c r="B7" s="2" t="s">
        <v>59</v>
      </c>
      <c r="C7" s="2" t="s">
        <v>30</v>
      </c>
      <c r="D7" s="6" t="n">
        <v>45443</v>
      </c>
      <c r="E7" s="2" t="s">
        <v>60</v>
      </c>
      <c r="F7" s="2" t="s">
        <v>32</v>
      </c>
      <c r="G7" s="2" t="s">
        <v>42</v>
      </c>
      <c r="H7" s="2" t="s">
        <v>49</v>
      </c>
      <c r="I7" s="2" t="s">
        <v>53</v>
      </c>
      <c r="J7" s="2" t="s">
        <v>44</v>
      </c>
      <c r="K7" s="2" t="s">
        <v>45</v>
      </c>
      <c r="L7" s="2" t="n">
        <v>2</v>
      </c>
      <c r="M7" s="2" t="str">
        <f aca="false">IF(L7="","",IF(L7=0,"Low",IF(L7=1,"Medium","High")))</f>
        <v>High</v>
      </c>
    </row>
    <row r="8" customFormat="false" ht="15" hidden="false" customHeight="false" outlineLevel="0" collapsed="false">
      <c r="A8" s="2" t="s">
        <v>61</v>
      </c>
      <c r="B8" s="2" t="s">
        <v>59</v>
      </c>
      <c r="C8" s="2" t="s">
        <v>39</v>
      </c>
      <c r="D8" s="6" t="n">
        <v>45808</v>
      </c>
      <c r="E8" s="2" t="s">
        <v>40</v>
      </c>
      <c r="F8" s="2" t="s">
        <v>41</v>
      </c>
      <c r="G8" s="2" t="s">
        <v>48</v>
      </c>
      <c r="H8" s="2" t="s">
        <v>52</v>
      </c>
      <c r="I8" s="2" t="s">
        <v>53</v>
      </c>
      <c r="J8" s="2" t="s">
        <v>44</v>
      </c>
      <c r="K8" s="2" t="s">
        <v>45</v>
      </c>
      <c r="L8" s="2"/>
      <c r="M8" s="2" t="str">
        <f aca="false">IF(L8="","",IF(L8=0,"Low",IF(L8=1,"Medium","High")))</f>
        <v/>
      </c>
    </row>
    <row r="9" customFormat="false" ht="15" hidden="false" customHeight="false" outlineLevel="0" collapsed="false">
      <c r="A9" s="2" t="s">
        <v>62</v>
      </c>
      <c r="B9" s="2" t="s">
        <v>63</v>
      </c>
      <c r="C9" s="2" t="s">
        <v>30</v>
      </c>
      <c r="D9" s="6" t="n">
        <v>45443</v>
      </c>
      <c r="E9" s="2" t="s">
        <v>64</v>
      </c>
      <c r="F9" s="2" t="s">
        <v>65</v>
      </c>
      <c r="G9" s="2" t="s">
        <v>65</v>
      </c>
      <c r="H9" s="2" t="s">
        <v>43</v>
      </c>
      <c r="I9" s="2" t="s">
        <v>66</v>
      </c>
      <c r="J9" s="2" t="s">
        <v>36</v>
      </c>
      <c r="K9" s="2" t="s">
        <v>67</v>
      </c>
      <c r="L9" s="2" t="n">
        <v>0</v>
      </c>
      <c r="M9" s="2" t="str">
        <f aca="false">IF(L9="","",IF(L9=0,"Low",IF(L9=1,"Medium","High")))</f>
        <v>Low</v>
      </c>
    </row>
    <row r="10" customFormat="false" ht="15" hidden="false" customHeight="false" outlineLevel="0" collapsed="false">
      <c r="A10" s="2" t="s">
        <v>68</v>
      </c>
      <c r="B10" s="2" t="s">
        <v>63</v>
      </c>
      <c r="C10" s="2" t="s">
        <v>39</v>
      </c>
      <c r="D10" s="6" t="n">
        <v>45808</v>
      </c>
      <c r="E10" s="2" t="s">
        <v>64</v>
      </c>
      <c r="F10" s="2" t="s">
        <v>65</v>
      </c>
      <c r="G10" s="2" t="s">
        <v>65</v>
      </c>
      <c r="H10" s="2" t="s">
        <v>49</v>
      </c>
      <c r="I10" s="2" t="s">
        <v>66</v>
      </c>
      <c r="J10" s="2" t="s">
        <v>36</v>
      </c>
      <c r="K10" s="2" t="s">
        <v>67</v>
      </c>
      <c r="L10" s="2" t="n">
        <v>2</v>
      </c>
      <c r="M10" s="2" t="str">
        <f aca="false">IF(L10="","",IF(L10=0,"Low",IF(L10=1,"Medium","High")))</f>
        <v>High</v>
      </c>
    </row>
    <row r="11" customFormat="false" ht="15" hidden="false" customHeight="false" outlineLevel="0" collapsed="false">
      <c r="A11" s="2" t="s">
        <v>69</v>
      </c>
      <c r="B11" s="2" t="s">
        <v>63</v>
      </c>
      <c r="C11" s="2" t="s">
        <v>47</v>
      </c>
      <c r="D11" s="6" t="n">
        <v>46173</v>
      </c>
      <c r="E11" s="2" t="s">
        <v>60</v>
      </c>
      <c r="F11" s="2" t="s">
        <v>41</v>
      </c>
      <c r="G11" s="2" t="s">
        <v>42</v>
      </c>
      <c r="H11" s="2" t="s">
        <v>52</v>
      </c>
      <c r="I11" s="2" t="s">
        <v>66</v>
      </c>
      <c r="J11" s="2" t="s">
        <v>44</v>
      </c>
      <c r="K11" s="2" t="s">
        <v>67</v>
      </c>
      <c r="L11" s="2"/>
      <c r="M11" s="2" t="str">
        <f aca="false">IF(L11="","",IF(L11=0,"Low",IF(L11=1,"Medium","High")))</f>
        <v/>
      </c>
    </row>
    <row r="12" customFormat="false" ht="15" hidden="false" customHeight="false" outlineLevel="0" collapsed="false">
      <c r="A12" s="2" t="s">
        <v>70</v>
      </c>
      <c r="B12" s="2" t="s">
        <v>71</v>
      </c>
      <c r="C12" s="2" t="s">
        <v>30</v>
      </c>
      <c r="D12" s="6" t="n">
        <v>45443</v>
      </c>
      <c r="E12" s="2" t="s">
        <v>64</v>
      </c>
      <c r="F12" s="2" t="s">
        <v>65</v>
      </c>
      <c r="G12" s="2" t="s">
        <v>65</v>
      </c>
      <c r="H12" s="2" t="s">
        <v>34</v>
      </c>
      <c r="I12" s="2" t="s">
        <v>66</v>
      </c>
      <c r="J12" s="2" t="s">
        <v>36</v>
      </c>
      <c r="K12" s="2" t="s">
        <v>67</v>
      </c>
      <c r="L12" s="2" t="n">
        <v>0</v>
      </c>
      <c r="M12" s="2" t="str">
        <f aca="false">IF(L12="","",IF(L12=0,"Low",IF(L12=1,"Medium","High")))</f>
        <v>Low</v>
      </c>
    </row>
    <row r="13" customFormat="false" ht="15" hidden="false" customHeight="false" outlineLevel="0" collapsed="false">
      <c r="A13" s="2" t="s">
        <v>72</v>
      </c>
      <c r="B13" s="2" t="s">
        <v>71</v>
      </c>
      <c r="C13" s="2" t="s">
        <v>39</v>
      </c>
      <c r="D13" s="6" t="n">
        <v>45808</v>
      </c>
      <c r="E13" s="2" t="s">
        <v>64</v>
      </c>
      <c r="F13" s="2" t="s">
        <v>65</v>
      </c>
      <c r="G13" s="2" t="s">
        <v>65</v>
      </c>
      <c r="H13" s="2" t="s">
        <v>43</v>
      </c>
      <c r="I13" s="2" t="s">
        <v>66</v>
      </c>
      <c r="J13" s="2" t="s">
        <v>36</v>
      </c>
      <c r="K13" s="2" t="s">
        <v>67</v>
      </c>
      <c r="L13" s="2" t="n">
        <v>0</v>
      </c>
      <c r="M13" s="2" t="str">
        <f aca="false">IF(L13="","",IF(L13=0,"Low",IF(L13=1,"Medium","High")))</f>
        <v>Low</v>
      </c>
    </row>
    <row r="14" customFormat="false" ht="15" hidden="false" customHeight="false" outlineLevel="0" collapsed="false">
      <c r="A14" s="2" t="s">
        <v>73</v>
      </c>
      <c r="B14" s="2" t="s">
        <v>71</v>
      </c>
      <c r="C14" s="2" t="s">
        <v>47</v>
      </c>
      <c r="D14" s="6" t="n">
        <v>46173</v>
      </c>
      <c r="E14" s="2" t="s">
        <v>64</v>
      </c>
      <c r="F14" s="2" t="s">
        <v>65</v>
      </c>
      <c r="G14" s="2" t="s">
        <v>65</v>
      </c>
      <c r="H14" s="2" t="s">
        <v>49</v>
      </c>
      <c r="I14" s="2" t="s">
        <v>66</v>
      </c>
      <c r="J14" s="2" t="s">
        <v>36</v>
      </c>
      <c r="K14" s="2" t="s">
        <v>67</v>
      </c>
      <c r="L14" s="2"/>
      <c r="M14" s="2" t="str">
        <f aca="false">IF(L14="","",IF(L14=0,"Low",IF(L14=1,"Medium","High")))</f>
        <v/>
      </c>
    </row>
    <row r="15" customFormat="false" ht="15" hidden="false" customHeight="false" outlineLevel="0" collapsed="false">
      <c r="A15" s="2" t="s">
        <v>74</v>
      </c>
      <c r="B15" s="2" t="s">
        <v>75</v>
      </c>
      <c r="C15" s="2" t="s">
        <v>30</v>
      </c>
      <c r="D15" s="6" t="n">
        <v>45443</v>
      </c>
      <c r="E15" s="2" t="s">
        <v>31</v>
      </c>
      <c r="F15" s="2" t="s">
        <v>32</v>
      </c>
      <c r="G15" s="2" t="s">
        <v>42</v>
      </c>
      <c r="H15" s="2" t="s">
        <v>49</v>
      </c>
      <c r="I15" s="2" t="s">
        <v>66</v>
      </c>
      <c r="J15" s="2" t="s">
        <v>36</v>
      </c>
      <c r="K15" s="2" t="s">
        <v>67</v>
      </c>
      <c r="L15" s="2" t="n">
        <v>0</v>
      </c>
      <c r="M15" s="2" t="str">
        <f aca="false">IF(L15="","",IF(L15=0,"Low",IF(L15=1,"Medium","High")))</f>
        <v>Low</v>
      </c>
    </row>
    <row r="16" customFormat="false" ht="15" hidden="false" customHeight="false" outlineLevel="0" collapsed="false">
      <c r="A16" s="2" t="s">
        <v>76</v>
      </c>
      <c r="B16" s="2" t="s">
        <v>75</v>
      </c>
      <c r="C16" s="2" t="s">
        <v>39</v>
      </c>
      <c r="D16" s="6" t="n">
        <v>45808</v>
      </c>
      <c r="E16" s="2" t="s">
        <v>31</v>
      </c>
      <c r="F16" s="2" t="s">
        <v>32</v>
      </c>
      <c r="G16" s="2" t="s">
        <v>33</v>
      </c>
      <c r="H16" s="2" t="s">
        <v>52</v>
      </c>
      <c r="I16" s="2" t="s">
        <v>66</v>
      </c>
      <c r="J16" s="2" t="s">
        <v>36</v>
      </c>
      <c r="K16" s="2" t="s">
        <v>67</v>
      </c>
      <c r="L16" s="2"/>
      <c r="M16" s="2" t="str">
        <f aca="false">IF(L16="","",IF(L16=0,"Low",IF(L16=1,"Medium","High")))</f>
        <v/>
      </c>
    </row>
    <row r="17" customFormat="false" ht="15" hidden="false" customHeight="false" outlineLevel="0" collapsed="false">
      <c r="A17" s="2" t="s">
        <v>77</v>
      </c>
      <c r="B17" s="2" t="s">
        <v>78</v>
      </c>
      <c r="C17" s="2" t="s">
        <v>30</v>
      </c>
      <c r="D17" s="6" t="n">
        <v>45443</v>
      </c>
      <c r="E17" s="2" t="s">
        <v>60</v>
      </c>
      <c r="F17" s="2" t="s">
        <v>32</v>
      </c>
      <c r="G17" s="2" t="s">
        <v>42</v>
      </c>
      <c r="H17" s="2" t="s">
        <v>34</v>
      </c>
      <c r="I17" s="2" t="s">
        <v>53</v>
      </c>
      <c r="J17" s="2" t="s">
        <v>79</v>
      </c>
      <c r="K17" s="2" t="s">
        <v>37</v>
      </c>
      <c r="L17" s="2" t="n">
        <v>0</v>
      </c>
      <c r="M17" s="2" t="str">
        <f aca="false">IF(L17="","",IF(L17=0,"Low",IF(L17=1,"Medium","High")))</f>
        <v>Low</v>
      </c>
    </row>
    <row r="18" customFormat="false" ht="15" hidden="false" customHeight="false" outlineLevel="0" collapsed="false">
      <c r="A18" s="2" t="s">
        <v>80</v>
      </c>
      <c r="B18" s="2" t="s">
        <v>78</v>
      </c>
      <c r="C18" s="2" t="s">
        <v>39</v>
      </c>
      <c r="D18" s="6" t="n">
        <v>45808</v>
      </c>
      <c r="E18" s="2" t="s">
        <v>60</v>
      </c>
      <c r="F18" s="2" t="s">
        <v>32</v>
      </c>
      <c r="G18" s="2" t="s">
        <v>33</v>
      </c>
      <c r="H18" s="2" t="s">
        <v>43</v>
      </c>
      <c r="I18" s="2" t="s">
        <v>53</v>
      </c>
      <c r="J18" s="2" t="s">
        <v>79</v>
      </c>
      <c r="K18" s="2" t="s">
        <v>37</v>
      </c>
      <c r="L18" s="2" t="n">
        <v>0</v>
      </c>
      <c r="M18" s="2" t="str">
        <f aca="false">IF(L18="","",IF(L18=0,"Low",IF(L18=1,"Medium","High")))</f>
        <v>Low</v>
      </c>
    </row>
    <row r="19" customFormat="false" ht="15" hidden="false" customHeight="false" outlineLevel="0" collapsed="false">
      <c r="A19" s="2" t="s">
        <v>81</v>
      </c>
      <c r="B19" s="2" t="s">
        <v>78</v>
      </c>
      <c r="C19" s="2" t="s">
        <v>47</v>
      </c>
      <c r="D19" s="6" t="n">
        <v>46173</v>
      </c>
      <c r="E19" s="2" t="s">
        <v>60</v>
      </c>
      <c r="F19" s="2" t="s">
        <v>32</v>
      </c>
      <c r="G19" s="2" t="s">
        <v>33</v>
      </c>
      <c r="H19" s="2" t="s">
        <v>49</v>
      </c>
      <c r="I19" s="2" t="s">
        <v>53</v>
      </c>
      <c r="J19" s="2" t="s">
        <v>79</v>
      </c>
      <c r="K19" s="2" t="s">
        <v>37</v>
      </c>
      <c r="L19" s="2"/>
      <c r="M19" s="2" t="str">
        <f aca="false">IF(L19="","",IF(L19=0,"Low",IF(L19=1,"Medium","High")))</f>
        <v/>
      </c>
    </row>
    <row r="20" customFormat="false" ht="15" hidden="false" customHeight="false" outlineLevel="0" collapsed="false">
      <c r="A20" s="2" t="s">
        <v>82</v>
      </c>
      <c r="B20" s="2" t="s">
        <v>83</v>
      </c>
      <c r="C20" s="2" t="s">
        <v>30</v>
      </c>
      <c r="D20" s="6" t="n">
        <v>45443</v>
      </c>
      <c r="E20" s="2" t="s">
        <v>31</v>
      </c>
      <c r="F20" s="2" t="s">
        <v>32</v>
      </c>
      <c r="G20" s="2" t="s">
        <v>42</v>
      </c>
      <c r="H20" s="2" t="s">
        <v>52</v>
      </c>
      <c r="I20" s="2" t="s">
        <v>53</v>
      </c>
      <c r="J20" s="2" t="s">
        <v>36</v>
      </c>
      <c r="K20" s="2" t="s">
        <v>67</v>
      </c>
      <c r="L20" s="2"/>
      <c r="M20" s="2" t="str">
        <f aca="false">IF(L20="","",IF(L20=0,"Low",IF(L20=1,"Medium","High")))</f>
        <v/>
      </c>
    </row>
    <row r="21" customFormat="false" ht="15" hidden="false" customHeight="false" outlineLevel="0" collapsed="false">
      <c r="A21" s="2" t="s">
        <v>84</v>
      </c>
      <c r="B21" s="2" t="s">
        <v>85</v>
      </c>
      <c r="C21" s="2" t="s">
        <v>30</v>
      </c>
      <c r="D21" s="6" t="n">
        <v>45443</v>
      </c>
      <c r="E21" s="2" t="s">
        <v>40</v>
      </c>
      <c r="F21" s="2" t="s">
        <v>41</v>
      </c>
      <c r="G21" s="2" t="s">
        <v>48</v>
      </c>
      <c r="H21" s="2" t="s">
        <v>52</v>
      </c>
      <c r="I21" s="2" t="s">
        <v>86</v>
      </c>
      <c r="J21" s="2" t="s">
        <v>79</v>
      </c>
      <c r="K21" s="2" t="s">
        <v>45</v>
      </c>
      <c r="L21" s="2"/>
      <c r="M21" s="2" t="str">
        <f aca="false">IF(L21="","",IF(L21=0,"Low",IF(L21=1,"Medium","High")))</f>
        <v/>
      </c>
    </row>
    <row r="22" customFormat="false" ht="15" hidden="false" customHeight="false" outlineLevel="0" collapsed="false">
      <c r="A22" s="2" t="s">
        <v>87</v>
      </c>
      <c r="B22" s="2" t="s">
        <v>88</v>
      </c>
      <c r="C22" s="2" t="s">
        <v>30</v>
      </c>
      <c r="D22" s="6" t="n">
        <v>45443</v>
      </c>
      <c r="E22" s="2" t="s">
        <v>40</v>
      </c>
      <c r="F22" s="2" t="s">
        <v>56</v>
      </c>
      <c r="G22" s="2" t="s">
        <v>48</v>
      </c>
      <c r="H22" s="2" t="s">
        <v>43</v>
      </c>
      <c r="I22" s="2" t="s">
        <v>35</v>
      </c>
      <c r="J22" s="2" t="s">
        <v>79</v>
      </c>
      <c r="K22" s="2" t="s">
        <v>45</v>
      </c>
      <c r="L22" s="2" t="n">
        <v>1</v>
      </c>
      <c r="M22" s="2" t="str">
        <f aca="false">IF(L22="","",IF(L22=0,"Low",IF(L22=1,"Medium","High")))</f>
        <v>Medium</v>
      </c>
    </row>
    <row r="23" customFormat="false" ht="15" hidden="false" customHeight="false" outlineLevel="0" collapsed="false">
      <c r="A23" s="2" t="s">
        <v>89</v>
      </c>
      <c r="B23" s="2" t="s">
        <v>88</v>
      </c>
      <c r="C23" s="2" t="s">
        <v>39</v>
      </c>
      <c r="D23" s="6" t="n">
        <v>45808</v>
      </c>
      <c r="E23" s="2" t="s">
        <v>40</v>
      </c>
      <c r="F23" s="2" t="s">
        <v>56</v>
      </c>
      <c r="G23" s="2" t="s">
        <v>33</v>
      </c>
      <c r="H23" s="2" t="s">
        <v>49</v>
      </c>
      <c r="I23" s="2" t="s">
        <v>35</v>
      </c>
      <c r="J23" s="2" t="s">
        <v>79</v>
      </c>
      <c r="K23" s="2" t="s">
        <v>37</v>
      </c>
      <c r="L23" s="2" t="n">
        <v>4</v>
      </c>
      <c r="M23" s="2" t="str">
        <f aca="false">IF(L23="","",IF(L23=0,"Low",IF(L23=1,"Medium","High")))</f>
        <v>High</v>
      </c>
    </row>
    <row r="24" customFormat="false" ht="15" hidden="false" customHeight="false" outlineLevel="0" collapsed="false">
      <c r="A24" s="2" t="s">
        <v>90</v>
      </c>
      <c r="B24" s="2" t="s">
        <v>88</v>
      </c>
      <c r="C24" s="2" t="s">
        <v>47</v>
      </c>
      <c r="D24" s="6" t="n">
        <v>46173</v>
      </c>
      <c r="E24" s="2" t="s">
        <v>40</v>
      </c>
      <c r="F24" s="2" t="s">
        <v>41</v>
      </c>
      <c r="G24" s="2" t="s">
        <v>42</v>
      </c>
      <c r="H24" s="2" t="s">
        <v>52</v>
      </c>
      <c r="I24" s="2" t="s">
        <v>35</v>
      </c>
      <c r="J24" s="2" t="s">
        <v>44</v>
      </c>
      <c r="K24" s="2" t="s">
        <v>37</v>
      </c>
      <c r="L24" s="2"/>
      <c r="M24" s="2" t="str">
        <f aca="false">IF(L24="","",IF(L24=0,"Low",IF(L24=1,"Medium","High")))</f>
        <v/>
      </c>
    </row>
    <row r="25" customFormat="false" ht="15" hidden="false" customHeight="false" outlineLevel="0" collapsed="false">
      <c r="A25" s="2" t="s">
        <v>91</v>
      </c>
      <c r="B25" s="2" t="s">
        <v>92</v>
      </c>
      <c r="C25" s="2" t="s">
        <v>30</v>
      </c>
      <c r="D25" s="6" t="n">
        <v>45443</v>
      </c>
      <c r="E25" s="2" t="s">
        <v>31</v>
      </c>
      <c r="F25" s="2" t="s">
        <v>56</v>
      </c>
      <c r="G25" s="2" t="s">
        <v>42</v>
      </c>
      <c r="H25" s="2" t="s">
        <v>43</v>
      </c>
      <c r="I25" s="2" t="s">
        <v>35</v>
      </c>
      <c r="J25" s="2" t="s">
        <v>36</v>
      </c>
      <c r="K25" s="2" t="s">
        <v>45</v>
      </c>
      <c r="L25" s="2" t="n">
        <v>2</v>
      </c>
      <c r="M25" s="2" t="str">
        <f aca="false">IF(L25="","",IF(L25=0,"Low",IF(L25=1,"Medium","High")))</f>
        <v>High</v>
      </c>
    </row>
    <row r="26" customFormat="false" ht="15" hidden="false" customHeight="false" outlineLevel="0" collapsed="false">
      <c r="A26" s="2" t="s">
        <v>93</v>
      </c>
      <c r="B26" s="2" t="s">
        <v>92</v>
      </c>
      <c r="C26" s="2" t="s">
        <v>39</v>
      </c>
      <c r="D26" s="6" t="n">
        <v>45808</v>
      </c>
      <c r="E26" s="2" t="s">
        <v>60</v>
      </c>
      <c r="F26" s="2" t="s">
        <v>41</v>
      </c>
      <c r="G26" s="2" t="s">
        <v>42</v>
      </c>
      <c r="H26" s="2" t="s">
        <v>49</v>
      </c>
      <c r="I26" s="2" t="s">
        <v>35</v>
      </c>
      <c r="J26" s="2" t="s">
        <v>44</v>
      </c>
      <c r="K26" s="2" t="s">
        <v>57</v>
      </c>
      <c r="L26" s="2" t="n">
        <v>0</v>
      </c>
      <c r="M26" s="2" t="str">
        <f aca="false">IF(L26="","",IF(L26=0,"Low",IF(L26=1,"Medium","High")))</f>
        <v>Low</v>
      </c>
    </row>
    <row r="27" customFormat="false" ht="15" hidden="false" customHeight="false" outlineLevel="0" collapsed="false">
      <c r="A27" s="2" t="s">
        <v>94</v>
      </c>
      <c r="B27" s="2" t="s">
        <v>92</v>
      </c>
      <c r="C27" s="2" t="s">
        <v>47</v>
      </c>
      <c r="D27" s="6" t="n">
        <v>46173</v>
      </c>
      <c r="E27" s="2" t="s">
        <v>60</v>
      </c>
      <c r="F27" s="2" t="s">
        <v>41</v>
      </c>
      <c r="G27" s="2" t="s">
        <v>33</v>
      </c>
      <c r="H27" s="2" t="s">
        <v>52</v>
      </c>
      <c r="I27" s="2" t="s">
        <v>35</v>
      </c>
      <c r="J27" s="2" t="s">
        <v>44</v>
      </c>
      <c r="K27" s="2" t="s">
        <v>57</v>
      </c>
      <c r="L27" s="2"/>
      <c r="M27" s="2" t="str">
        <f aca="false">IF(L27="","",IF(L27=0,"Low",IF(L27=1,"Medium","High")))</f>
        <v/>
      </c>
    </row>
    <row r="28" customFormat="false" ht="15" hidden="false" customHeight="false" outlineLevel="0" collapsed="false">
      <c r="A28" s="2" t="s">
        <v>95</v>
      </c>
      <c r="B28" s="2" t="s">
        <v>96</v>
      </c>
      <c r="C28" s="2" t="s">
        <v>30</v>
      </c>
      <c r="D28" s="6" t="n">
        <v>45443</v>
      </c>
      <c r="E28" s="2" t="s">
        <v>31</v>
      </c>
      <c r="F28" s="2" t="s">
        <v>32</v>
      </c>
      <c r="G28" s="2" t="s">
        <v>33</v>
      </c>
      <c r="H28" s="2" t="s">
        <v>52</v>
      </c>
      <c r="I28" s="2" t="s">
        <v>66</v>
      </c>
      <c r="J28" s="2" t="s">
        <v>36</v>
      </c>
      <c r="K28" s="2" t="s">
        <v>37</v>
      </c>
      <c r="L28" s="2"/>
      <c r="M28" s="2" t="str">
        <f aca="false">IF(L28="","",IF(L28=0,"Low",IF(L28=1,"Medium","High")))</f>
        <v/>
      </c>
    </row>
    <row r="29" customFormat="false" ht="15" hidden="false" customHeight="false" outlineLevel="0" collapsed="false">
      <c r="A29" s="2" t="s">
        <v>97</v>
      </c>
      <c r="B29" s="2" t="s">
        <v>98</v>
      </c>
      <c r="C29" s="2" t="s">
        <v>30</v>
      </c>
      <c r="D29" s="6" t="n">
        <v>45443</v>
      </c>
      <c r="E29" s="2" t="s">
        <v>60</v>
      </c>
      <c r="F29" s="2" t="s">
        <v>41</v>
      </c>
      <c r="G29" s="2" t="s">
        <v>48</v>
      </c>
      <c r="H29" s="2" t="s">
        <v>52</v>
      </c>
      <c r="I29" s="2" t="s">
        <v>53</v>
      </c>
      <c r="J29" s="2" t="s">
        <v>44</v>
      </c>
      <c r="K29" s="2" t="s">
        <v>57</v>
      </c>
      <c r="L29" s="2"/>
      <c r="M29" s="2" t="str">
        <f aca="false">IF(L29="","",IF(L29=0,"Low",IF(L29=1,"Medium","High")))</f>
        <v/>
      </c>
    </row>
    <row r="30" customFormat="false" ht="15" hidden="false" customHeight="false" outlineLevel="0" collapsed="false">
      <c r="A30" s="2" t="s">
        <v>99</v>
      </c>
      <c r="B30" s="2" t="s">
        <v>100</v>
      </c>
      <c r="C30" s="2" t="s">
        <v>30</v>
      </c>
      <c r="D30" s="6" t="n">
        <v>45443</v>
      </c>
      <c r="E30" s="2" t="s">
        <v>31</v>
      </c>
      <c r="F30" s="2" t="s">
        <v>32</v>
      </c>
      <c r="G30" s="2" t="s">
        <v>33</v>
      </c>
      <c r="H30" s="2" t="s">
        <v>52</v>
      </c>
      <c r="I30" s="2" t="s">
        <v>66</v>
      </c>
      <c r="J30" s="2" t="s">
        <v>36</v>
      </c>
      <c r="K30" s="2" t="s">
        <v>45</v>
      </c>
      <c r="L30" s="2"/>
      <c r="M30" s="2" t="str">
        <f aca="false">IF(L30="","",IF(L30=0,"Low",IF(L30=1,"Medium","High")))</f>
        <v/>
      </c>
    </row>
    <row r="31" customFormat="false" ht="15" hidden="false" customHeight="false" outlineLevel="0" collapsed="false">
      <c r="A31" s="2" t="s">
        <v>101</v>
      </c>
      <c r="B31" s="2" t="s">
        <v>102</v>
      </c>
      <c r="C31" s="2" t="s">
        <v>30</v>
      </c>
      <c r="D31" s="6" t="n">
        <v>45443</v>
      </c>
      <c r="E31" s="2" t="s">
        <v>64</v>
      </c>
      <c r="F31" s="2" t="s">
        <v>65</v>
      </c>
      <c r="G31" s="2" t="s">
        <v>65</v>
      </c>
      <c r="H31" s="2" t="s">
        <v>34</v>
      </c>
      <c r="I31" s="2" t="s">
        <v>53</v>
      </c>
      <c r="J31" s="2" t="s">
        <v>36</v>
      </c>
      <c r="K31" s="2" t="s">
        <v>67</v>
      </c>
      <c r="L31" s="2" t="n">
        <v>0</v>
      </c>
      <c r="M31" s="2" t="str">
        <f aca="false">IF(L31="","",IF(L31=0,"Low",IF(L31=1,"Medium","High")))</f>
        <v>Low</v>
      </c>
    </row>
    <row r="32" customFormat="false" ht="15" hidden="false" customHeight="false" outlineLevel="0" collapsed="false">
      <c r="A32" s="2" t="s">
        <v>103</v>
      </c>
      <c r="B32" s="2" t="s">
        <v>102</v>
      </c>
      <c r="C32" s="2" t="s">
        <v>39</v>
      </c>
      <c r="D32" s="6" t="n">
        <v>45808</v>
      </c>
      <c r="E32" s="2" t="s">
        <v>64</v>
      </c>
      <c r="F32" s="2" t="s">
        <v>65</v>
      </c>
      <c r="G32" s="2" t="s">
        <v>65</v>
      </c>
      <c r="H32" s="2" t="s">
        <v>43</v>
      </c>
      <c r="I32" s="2" t="s">
        <v>53</v>
      </c>
      <c r="J32" s="2" t="s">
        <v>36</v>
      </c>
      <c r="K32" s="2" t="s">
        <v>67</v>
      </c>
      <c r="L32" s="2" t="n">
        <v>0</v>
      </c>
      <c r="M32" s="2" t="str">
        <f aca="false">IF(L32="","",IF(L32=0,"Low",IF(L32=1,"Medium","High")))</f>
        <v>Low</v>
      </c>
    </row>
    <row r="33" customFormat="false" ht="15" hidden="false" customHeight="false" outlineLevel="0" collapsed="false">
      <c r="A33" s="2" t="s">
        <v>104</v>
      </c>
      <c r="B33" s="2" t="s">
        <v>102</v>
      </c>
      <c r="C33" s="2" t="s">
        <v>47</v>
      </c>
      <c r="D33" s="6" t="n">
        <v>46173</v>
      </c>
      <c r="E33" s="2" t="s">
        <v>64</v>
      </c>
      <c r="F33" s="2" t="s">
        <v>65</v>
      </c>
      <c r="G33" s="2" t="s">
        <v>65</v>
      </c>
      <c r="H33" s="2" t="s">
        <v>49</v>
      </c>
      <c r="I33" s="2" t="s">
        <v>53</v>
      </c>
      <c r="J33" s="2" t="s">
        <v>36</v>
      </c>
      <c r="K33" s="2" t="s">
        <v>67</v>
      </c>
      <c r="L33" s="2"/>
      <c r="M33" s="2" t="str">
        <f aca="false">IF(L33="","",IF(L33=0,"Low",IF(L33=1,"Medium","High")))</f>
        <v/>
      </c>
    </row>
    <row r="34" customFormat="false" ht="15" hidden="false" customHeight="false" outlineLevel="0" collapsed="false">
      <c r="A34" s="2" t="s">
        <v>105</v>
      </c>
      <c r="B34" s="2" t="s">
        <v>106</v>
      </c>
      <c r="C34" s="2" t="s">
        <v>30</v>
      </c>
      <c r="D34" s="6" t="n">
        <v>45443</v>
      </c>
      <c r="E34" s="2" t="s">
        <v>60</v>
      </c>
      <c r="F34" s="2" t="s">
        <v>32</v>
      </c>
      <c r="G34" s="2" t="s">
        <v>42</v>
      </c>
      <c r="H34" s="2" t="s">
        <v>49</v>
      </c>
      <c r="I34" s="2" t="s">
        <v>53</v>
      </c>
      <c r="J34" s="2" t="s">
        <v>79</v>
      </c>
      <c r="K34" s="2" t="s">
        <v>37</v>
      </c>
      <c r="L34" s="2" t="n">
        <v>1</v>
      </c>
      <c r="M34" s="2" t="str">
        <f aca="false">IF(L34="","",IF(L34=0,"Low",IF(L34=1,"Medium","High")))</f>
        <v>Medium</v>
      </c>
    </row>
    <row r="35" customFormat="false" ht="15" hidden="false" customHeight="false" outlineLevel="0" collapsed="false">
      <c r="A35" s="2" t="s">
        <v>107</v>
      </c>
      <c r="B35" s="2" t="s">
        <v>106</v>
      </c>
      <c r="C35" s="2" t="s">
        <v>39</v>
      </c>
      <c r="D35" s="6" t="n">
        <v>45808</v>
      </c>
      <c r="E35" s="2" t="s">
        <v>40</v>
      </c>
      <c r="F35" s="2" t="s">
        <v>32</v>
      </c>
      <c r="G35" s="2" t="s">
        <v>33</v>
      </c>
      <c r="H35" s="2" t="s">
        <v>52</v>
      </c>
      <c r="I35" s="2" t="s">
        <v>53</v>
      </c>
      <c r="J35" s="2" t="s">
        <v>44</v>
      </c>
      <c r="K35" s="2" t="s">
        <v>45</v>
      </c>
      <c r="L35" s="2"/>
      <c r="M35" s="2" t="str">
        <f aca="false">IF(L35="","",IF(L35=0,"Low",IF(L35=1,"Medium","High")))</f>
        <v/>
      </c>
    </row>
    <row r="36" customFormat="false" ht="15" hidden="false" customHeight="false" outlineLevel="0" collapsed="false">
      <c r="A36" s="2" t="s">
        <v>108</v>
      </c>
      <c r="B36" s="2" t="s">
        <v>109</v>
      </c>
      <c r="C36" s="2" t="s">
        <v>30</v>
      </c>
      <c r="D36" s="6" t="n">
        <v>45443</v>
      </c>
      <c r="E36" s="2" t="s">
        <v>31</v>
      </c>
      <c r="F36" s="2" t="s">
        <v>56</v>
      </c>
      <c r="G36" s="2" t="s">
        <v>110</v>
      </c>
      <c r="H36" s="2" t="s">
        <v>52</v>
      </c>
      <c r="I36" s="2" t="s">
        <v>35</v>
      </c>
      <c r="J36" s="2" t="s">
        <v>36</v>
      </c>
      <c r="K36" s="2" t="s">
        <v>57</v>
      </c>
      <c r="L36" s="2"/>
      <c r="M36" s="2" t="str">
        <f aca="false">IF(L36="","",IF(L36=0,"Low",IF(L36=1,"Medium","High")))</f>
        <v/>
      </c>
    </row>
    <row r="37" customFormat="false" ht="15" hidden="false" customHeight="false" outlineLevel="0" collapsed="false">
      <c r="A37" s="2" t="s">
        <v>111</v>
      </c>
      <c r="B37" s="2" t="s">
        <v>112</v>
      </c>
      <c r="C37" s="2" t="s">
        <v>30</v>
      </c>
      <c r="D37" s="6" t="n">
        <v>45443</v>
      </c>
      <c r="E37" s="2" t="s">
        <v>64</v>
      </c>
      <c r="F37" s="2" t="s">
        <v>65</v>
      </c>
      <c r="G37" s="2" t="s">
        <v>65</v>
      </c>
      <c r="H37" s="2" t="s">
        <v>49</v>
      </c>
      <c r="I37" s="2" t="s">
        <v>35</v>
      </c>
      <c r="J37" s="2" t="s">
        <v>36</v>
      </c>
      <c r="K37" s="2" t="s">
        <v>67</v>
      </c>
      <c r="L37" s="2" t="n">
        <v>0</v>
      </c>
      <c r="M37" s="2" t="str">
        <f aca="false">IF(L37="","",IF(L37=0,"Low",IF(L37=1,"Medium","High")))</f>
        <v>Low</v>
      </c>
    </row>
    <row r="38" customFormat="false" ht="15" hidden="false" customHeight="false" outlineLevel="0" collapsed="false">
      <c r="A38" s="2" t="s">
        <v>113</v>
      </c>
      <c r="B38" s="2" t="s">
        <v>112</v>
      </c>
      <c r="C38" s="2" t="s">
        <v>39</v>
      </c>
      <c r="D38" s="6" t="n">
        <v>45808</v>
      </c>
      <c r="E38" s="2" t="s">
        <v>64</v>
      </c>
      <c r="F38" s="2" t="s">
        <v>65</v>
      </c>
      <c r="G38" s="2" t="s">
        <v>65</v>
      </c>
      <c r="H38" s="2" t="s">
        <v>52</v>
      </c>
      <c r="I38" s="2" t="s">
        <v>35</v>
      </c>
      <c r="J38" s="2" t="s">
        <v>36</v>
      </c>
      <c r="K38" s="2" t="s">
        <v>67</v>
      </c>
      <c r="L38" s="2"/>
      <c r="M38" s="2" t="str">
        <f aca="false">IF(L38="","",IF(L38=0,"Low",IF(L38=1,"Medium","High")))</f>
        <v/>
      </c>
    </row>
    <row r="39" customFormat="false" ht="15" hidden="false" customHeight="false" outlineLevel="0" collapsed="false">
      <c r="A39" s="2" t="s">
        <v>114</v>
      </c>
      <c r="B39" s="2" t="s">
        <v>115</v>
      </c>
      <c r="C39" s="2" t="s">
        <v>30</v>
      </c>
      <c r="D39" s="6" t="n">
        <v>45443</v>
      </c>
      <c r="E39" s="2" t="s">
        <v>31</v>
      </c>
      <c r="F39" s="2" t="s">
        <v>56</v>
      </c>
      <c r="G39" s="2" t="s">
        <v>42</v>
      </c>
      <c r="H39" s="2" t="s">
        <v>49</v>
      </c>
      <c r="I39" s="2" t="s">
        <v>53</v>
      </c>
      <c r="J39" s="2" t="s">
        <v>36</v>
      </c>
      <c r="K39" s="2" t="s">
        <v>57</v>
      </c>
      <c r="L39" s="2" t="n">
        <v>0</v>
      </c>
      <c r="M39" s="2" t="str">
        <f aca="false">IF(L39="","",IF(L39=0,"Low",IF(L39=1,"Medium","High")))</f>
        <v>Low</v>
      </c>
    </row>
    <row r="40" customFormat="false" ht="15" hidden="false" customHeight="false" outlineLevel="0" collapsed="false">
      <c r="A40" s="2" t="s">
        <v>116</v>
      </c>
      <c r="B40" s="2" t="s">
        <v>115</v>
      </c>
      <c r="C40" s="2" t="s">
        <v>39</v>
      </c>
      <c r="D40" s="6" t="n">
        <v>45808</v>
      </c>
      <c r="E40" s="2" t="s">
        <v>31</v>
      </c>
      <c r="F40" s="2" t="s">
        <v>56</v>
      </c>
      <c r="G40" s="2" t="s">
        <v>33</v>
      </c>
      <c r="H40" s="2" t="s">
        <v>52</v>
      </c>
      <c r="I40" s="2" t="s">
        <v>53</v>
      </c>
      <c r="J40" s="2" t="s">
        <v>36</v>
      </c>
      <c r="K40" s="2" t="s">
        <v>57</v>
      </c>
      <c r="L40" s="2"/>
      <c r="M40" s="2" t="str">
        <f aca="false">IF(L40="","",IF(L40=0,"Low",IF(L40=1,"Medium","High")))</f>
        <v/>
      </c>
    </row>
    <row r="41" customFormat="false" ht="15" hidden="false" customHeight="false" outlineLevel="0" collapsed="false">
      <c r="A41" s="2" t="s">
        <v>117</v>
      </c>
      <c r="B41" s="2" t="s">
        <v>118</v>
      </c>
      <c r="C41" s="2" t="s">
        <v>30</v>
      </c>
      <c r="D41" s="6" t="n">
        <v>45443</v>
      </c>
      <c r="E41" s="2" t="s">
        <v>64</v>
      </c>
      <c r="F41" s="2" t="s">
        <v>65</v>
      </c>
      <c r="G41" s="2" t="s">
        <v>65</v>
      </c>
      <c r="H41" s="2" t="s">
        <v>52</v>
      </c>
      <c r="I41" s="2" t="s">
        <v>53</v>
      </c>
      <c r="J41" s="2" t="s">
        <v>36</v>
      </c>
      <c r="K41" s="2" t="s">
        <v>67</v>
      </c>
      <c r="L41" s="2"/>
      <c r="M41" s="2" t="str">
        <f aca="false">IF(L41="","",IF(L41=0,"Low",IF(L41=1,"Medium","High")))</f>
        <v/>
      </c>
    </row>
    <row r="42" customFormat="false" ht="15" hidden="false" customHeight="false" outlineLevel="0" collapsed="false">
      <c r="A42" s="2" t="s">
        <v>119</v>
      </c>
      <c r="B42" s="2" t="s">
        <v>120</v>
      </c>
      <c r="C42" s="2" t="s">
        <v>30</v>
      </c>
      <c r="D42" s="6" t="n">
        <v>45443</v>
      </c>
      <c r="E42" s="2" t="s">
        <v>31</v>
      </c>
      <c r="F42" s="2" t="s">
        <v>56</v>
      </c>
      <c r="G42" s="2" t="s">
        <v>33</v>
      </c>
      <c r="H42" s="2" t="s">
        <v>49</v>
      </c>
      <c r="I42" s="2" t="s">
        <v>53</v>
      </c>
      <c r="J42" s="2" t="s">
        <v>36</v>
      </c>
      <c r="K42" s="2" t="s">
        <v>45</v>
      </c>
      <c r="L42" s="2" t="n">
        <v>0</v>
      </c>
      <c r="M42" s="2" t="str">
        <f aca="false">IF(L42="","",IF(L42=0,"Low",IF(L42=1,"Medium","High")))</f>
        <v>Low</v>
      </c>
    </row>
    <row r="43" customFormat="false" ht="15" hidden="false" customHeight="false" outlineLevel="0" collapsed="false">
      <c r="A43" s="2" t="s">
        <v>121</v>
      </c>
      <c r="B43" s="2" t="s">
        <v>120</v>
      </c>
      <c r="C43" s="2" t="s">
        <v>39</v>
      </c>
      <c r="D43" s="6" t="n">
        <v>45808</v>
      </c>
      <c r="E43" s="2" t="s">
        <v>31</v>
      </c>
      <c r="F43" s="2" t="s">
        <v>56</v>
      </c>
      <c r="G43" s="2" t="s">
        <v>33</v>
      </c>
      <c r="H43" s="2" t="s">
        <v>52</v>
      </c>
      <c r="I43" s="2" t="s">
        <v>53</v>
      </c>
      <c r="J43" s="2" t="s">
        <v>36</v>
      </c>
      <c r="K43" s="2" t="s">
        <v>45</v>
      </c>
      <c r="L43" s="2"/>
      <c r="M43" s="2" t="str">
        <f aca="false">IF(L43="","",IF(L43=0,"Low",IF(L43=1,"Medium","High")))</f>
        <v/>
      </c>
    </row>
    <row r="44" customFormat="false" ht="15" hidden="false" customHeight="false" outlineLevel="0" collapsed="false">
      <c r="A44" s="2" t="s">
        <v>122</v>
      </c>
      <c r="B44" s="2" t="s">
        <v>123</v>
      </c>
      <c r="C44" s="2" t="s">
        <v>30</v>
      </c>
      <c r="D44" s="6" t="n">
        <v>45443</v>
      </c>
      <c r="E44" s="2" t="s">
        <v>64</v>
      </c>
      <c r="F44" s="2" t="s">
        <v>65</v>
      </c>
      <c r="G44" s="2" t="s">
        <v>65</v>
      </c>
      <c r="H44" s="2" t="s">
        <v>34</v>
      </c>
      <c r="I44" s="2" t="s">
        <v>35</v>
      </c>
      <c r="J44" s="2" t="s">
        <v>36</v>
      </c>
      <c r="K44" s="2" t="s">
        <v>67</v>
      </c>
      <c r="L44" s="2" t="n">
        <v>1</v>
      </c>
      <c r="M44" s="2" t="str">
        <f aca="false">IF(L44="","",IF(L44=0,"Low",IF(L44=1,"Medium","High")))</f>
        <v>Medium</v>
      </c>
    </row>
    <row r="45" customFormat="false" ht="15" hidden="false" customHeight="false" outlineLevel="0" collapsed="false">
      <c r="A45" s="2" t="s">
        <v>124</v>
      </c>
      <c r="B45" s="2" t="s">
        <v>123</v>
      </c>
      <c r="C45" s="2" t="s">
        <v>39</v>
      </c>
      <c r="D45" s="6" t="n">
        <v>45808</v>
      </c>
      <c r="E45" s="2" t="s">
        <v>31</v>
      </c>
      <c r="F45" s="2" t="s">
        <v>32</v>
      </c>
      <c r="G45" s="2" t="s">
        <v>48</v>
      </c>
      <c r="H45" s="2" t="s">
        <v>43</v>
      </c>
      <c r="I45" s="2" t="s">
        <v>35</v>
      </c>
      <c r="J45" s="2" t="s">
        <v>36</v>
      </c>
      <c r="K45" s="2" t="s">
        <v>45</v>
      </c>
      <c r="L45" s="2" t="n">
        <v>0</v>
      </c>
      <c r="M45" s="2" t="str">
        <f aca="false">IF(L45="","",IF(L45=0,"Low",IF(L45=1,"Medium","High")))</f>
        <v>Low</v>
      </c>
    </row>
    <row r="46" customFormat="false" ht="15" hidden="false" customHeight="false" outlineLevel="0" collapsed="false">
      <c r="A46" s="2" t="s">
        <v>125</v>
      </c>
      <c r="B46" s="2" t="s">
        <v>123</v>
      </c>
      <c r="C46" s="2" t="s">
        <v>47</v>
      </c>
      <c r="D46" s="6" t="n">
        <v>46173</v>
      </c>
      <c r="E46" s="2" t="s">
        <v>31</v>
      </c>
      <c r="F46" s="2" t="s">
        <v>32</v>
      </c>
      <c r="G46" s="2" t="s">
        <v>33</v>
      </c>
      <c r="H46" s="2" t="s">
        <v>49</v>
      </c>
      <c r="I46" s="2" t="s">
        <v>35</v>
      </c>
      <c r="J46" s="2" t="s">
        <v>36</v>
      </c>
      <c r="K46" s="2" t="s">
        <v>45</v>
      </c>
      <c r="L46" s="2"/>
      <c r="M46" s="2" t="str">
        <f aca="false">IF(L46="","",IF(L46=0,"Low",IF(L46=1,"Medium","High")))</f>
        <v/>
      </c>
    </row>
    <row r="47" customFormat="false" ht="15" hidden="false" customHeight="false" outlineLevel="0" collapsed="false">
      <c r="A47" s="2" t="s">
        <v>126</v>
      </c>
      <c r="B47" s="2" t="s">
        <v>127</v>
      </c>
      <c r="C47" s="2" t="s">
        <v>30</v>
      </c>
      <c r="D47" s="6" t="n">
        <v>45443</v>
      </c>
      <c r="E47" s="2" t="s">
        <v>60</v>
      </c>
      <c r="F47" s="2" t="s">
        <v>41</v>
      </c>
      <c r="G47" s="2" t="s">
        <v>42</v>
      </c>
      <c r="H47" s="2" t="s">
        <v>34</v>
      </c>
      <c r="I47" s="2" t="s">
        <v>66</v>
      </c>
      <c r="J47" s="2" t="s">
        <v>44</v>
      </c>
      <c r="K47" s="2" t="s">
        <v>37</v>
      </c>
      <c r="L47" s="2" t="n">
        <v>1</v>
      </c>
      <c r="M47" s="2" t="str">
        <f aca="false">IF(L47="","",IF(L47=0,"Low",IF(L47=1,"Medium","High")))</f>
        <v>Medium</v>
      </c>
    </row>
    <row r="48" customFormat="false" ht="15" hidden="false" customHeight="false" outlineLevel="0" collapsed="false">
      <c r="A48" s="2" t="s">
        <v>128</v>
      </c>
      <c r="B48" s="2" t="s">
        <v>127</v>
      </c>
      <c r="C48" s="2" t="s">
        <v>39</v>
      </c>
      <c r="D48" s="6" t="n">
        <v>45808</v>
      </c>
      <c r="E48" s="2" t="s">
        <v>60</v>
      </c>
      <c r="F48" s="2" t="s">
        <v>41</v>
      </c>
      <c r="G48" s="2" t="s">
        <v>33</v>
      </c>
      <c r="H48" s="2" t="s">
        <v>43</v>
      </c>
      <c r="I48" s="2" t="s">
        <v>66</v>
      </c>
      <c r="J48" s="2" t="s">
        <v>44</v>
      </c>
      <c r="K48" s="2" t="s">
        <v>45</v>
      </c>
      <c r="L48" s="2" t="n">
        <v>1</v>
      </c>
      <c r="M48" s="2" t="str">
        <f aca="false">IF(L48="","",IF(L48=0,"Low",IF(L48=1,"Medium","High")))</f>
        <v>Medium</v>
      </c>
    </row>
    <row r="49" customFormat="false" ht="15" hidden="false" customHeight="false" outlineLevel="0" collapsed="false">
      <c r="A49" s="2" t="s">
        <v>129</v>
      </c>
      <c r="B49" s="2" t="s">
        <v>127</v>
      </c>
      <c r="C49" s="2" t="s">
        <v>47</v>
      </c>
      <c r="D49" s="6" t="n">
        <v>46173</v>
      </c>
      <c r="E49" s="2" t="s">
        <v>40</v>
      </c>
      <c r="F49" s="2" t="s">
        <v>41</v>
      </c>
      <c r="G49" s="2" t="s">
        <v>33</v>
      </c>
      <c r="H49" s="2" t="s">
        <v>49</v>
      </c>
      <c r="I49" s="2" t="s">
        <v>66</v>
      </c>
      <c r="J49" s="2" t="s">
        <v>44</v>
      </c>
      <c r="K49" s="2" t="s">
        <v>67</v>
      </c>
      <c r="L49" s="2"/>
      <c r="M49" s="2" t="str">
        <f aca="false">IF(L49="","",IF(L49=0,"Low",IF(L49=1,"Medium","High")))</f>
        <v/>
      </c>
    </row>
    <row r="50" customFormat="false" ht="15" hidden="false" customHeight="false" outlineLevel="0" collapsed="false">
      <c r="A50" s="2" t="s">
        <v>130</v>
      </c>
      <c r="B50" s="2" t="s">
        <v>131</v>
      </c>
      <c r="C50" s="2" t="s">
        <v>30</v>
      </c>
      <c r="D50" s="6" t="n">
        <v>45443</v>
      </c>
      <c r="E50" s="2" t="s">
        <v>31</v>
      </c>
      <c r="F50" s="2" t="s">
        <v>32</v>
      </c>
      <c r="G50" s="2" t="s">
        <v>48</v>
      </c>
      <c r="H50" s="2" t="s">
        <v>43</v>
      </c>
      <c r="I50" s="2" t="s">
        <v>53</v>
      </c>
      <c r="J50" s="2" t="s">
        <v>36</v>
      </c>
      <c r="K50" s="2" t="s">
        <v>45</v>
      </c>
      <c r="L50" s="2" t="n">
        <v>0</v>
      </c>
      <c r="M50" s="2" t="str">
        <f aca="false">IF(L50="","",IF(L50=0,"Low",IF(L50=1,"Medium","High")))</f>
        <v>Low</v>
      </c>
    </row>
    <row r="51" customFormat="false" ht="15" hidden="false" customHeight="false" outlineLevel="0" collapsed="false">
      <c r="A51" s="2" t="s">
        <v>132</v>
      </c>
      <c r="B51" s="2" t="s">
        <v>131</v>
      </c>
      <c r="C51" s="2" t="s">
        <v>39</v>
      </c>
      <c r="D51" s="6" t="n">
        <v>45808</v>
      </c>
      <c r="E51" s="2" t="s">
        <v>31</v>
      </c>
      <c r="F51" s="2" t="s">
        <v>32</v>
      </c>
      <c r="G51" s="2" t="s">
        <v>33</v>
      </c>
      <c r="H51" s="2" t="s">
        <v>49</v>
      </c>
      <c r="I51" s="2" t="s">
        <v>53</v>
      </c>
      <c r="J51" s="2" t="s">
        <v>36</v>
      </c>
      <c r="K51" s="2" t="s">
        <v>45</v>
      </c>
      <c r="L51" s="2" t="n">
        <v>0</v>
      </c>
      <c r="M51" s="2" t="str">
        <f aca="false">IF(L51="","",IF(L51=0,"Low",IF(L51=1,"Medium","High")))</f>
        <v>Low</v>
      </c>
    </row>
    <row r="52" customFormat="false" ht="15" hidden="false" customHeight="false" outlineLevel="0" collapsed="false">
      <c r="A52" s="2" t="s">
        <v>133</v>
      </c>
      <c r="B52" s="2" t="s">
        <v>131</v>
      </c>
      <c r="C52" s="2" t="s">
        <v>47</v>
      </c>
      <c r="D52" s="6" t="n">
        <v>46173</v>
      </c>
      <c r="E52" s="2" t="s">
        <v>31</v>
      </c>
      <c r="F52" s="2" t="s">
        <v>32</v>
      </c>
      <c r="G52" s="2" t="s">
        <v>33</v>
      </c>
      <c r="H52" s="2" t="s">
        <v>52</v>
      </c>
      <c r="I52" s="2" t="s">
        <v>53</v>
      </c>
      <c r="J52" s="2" t="s">
        <v>36</v>
      </c>
      <c r="K52" s="2" t="s">
        <v>45</v>
      </c>
      <c r="L52" s="2"/>
      <c r="M52" s="2" t="str">
        <f aca="false">IF(L52="","",IF(L52=0,"Low",IF(L52=1,"Medium","High")))</f>
        <v/>
      </c>
    </row>
    <row r="53" customFormat="false" ht="15" hidden="false" customHeight="false" outlineLevel="0" collapsed="false">
      <c r="A53" s="2" t="s">
        <v>134</v>
      </c>
      <c r="B53" s="2" t="s">
        <v>135</v>
      </c>
      <c r="C53" s="2" t="s">
        <v>30</v>
      </c>
      <c r="D53" s="6" t="n">
        <v>45443</v>
      </c>
      <c r="E53" s="2" t="s">
        <v>64</v>
      </c>
      <c r="F53" s="2" t="s">
        <v>65</v>
      </c>
      <c r="G53" s="2" t="s">
        <v>65</v>
      </c>
      <c r="H53" s="2" t="s">
        <v>43</v>
      </c>
      <c r="I53" s="2" t="s">
        <v>66</v>
      </c>
      <c r="J53" s="2" t="s">
        <v>36</v>
      </c>
      <c r="K53" s="2" t="s">
        <v>67</v>
      </c>
      <c r="L53" s="2" t="n">
        <v>0</v>
      </c>
      <c r="M53" s="2" t="str">
        <f aca="false">IF(L53="","",IF(L53=0,"Low",IF(L53=1,"Medium","High")))</f>
        <v>Low</v>
      </c>
    </row>
    <row r="54" customFormat="false" ht="15" hidden="false" customHeight="false" outlineLevel="0" collapsed="false">
      <c r="A54" s="2" t="s">
        <v>136</v>
      </c>
      <c r="B54" s="2" t="s">
        <v>135</v>
      </c>
      <c r="C54" s="2" t="s">
        <v>39</v>
      </c>
      <c r="D54" s="6" t="n">
        <v>45808</v>
      </c>
      <c r="E54" s="2" t="s">
        <v>64</v>
      </c>
      <c r="F54" s="2" t="s">
        <v>65</v>
      </c>
      <c r="G54" s="2" t="s">
        <v>65</v>
      </c>
      <c r="H54" s="2" t="s">
        <v>49</v>
      </c>
      <c r="I54" s="2" t="s">
        <v>66</v>
      </c>
      <c r="J54" s="2" t="s">
        <v>36</v>
      </c>
      <c r="K54" s="2" t="s">
        <v>67</v>
      </c>
      <c r="L54" s="2" t="n">
        <v>0</v>
      </c>
      <c r="M54" s="2" t="str">
        <f aca="false">IF(L54="","",IF(L54=0,"Low",IF(L54=1,"Medium","High")))</f>
        <v>Low</v>
      </c>
    </row>
    <row r="55" customFormat="false" ht="15" hidden="false" customHeight="false" outlineLevel="0" collapsed="false">
      <c r="A55" s="2" t="s">
        <v>137</v>
      </c>
      <c r="B55" s="2" t="s">
        <v>135</v>
      </c>
      <c r="C55" s="2" t="s">
        <v>47</v>
      </c>
      <c r="D55" s="6" t="n">
        <v>46173</v>
      </c>
      <c r="E55" s="2" t="s">
        <v>64</v>
      </c>
      <c r="F55" s="2" t="s">
        <v>65</v>
      </c>
      <c r="G55" s="2" t="s">
        <v>65</v>
      </c>
      <c r="H55" s="2" t="s">
        <v>52</v>
      </c>
      <c r="I55" s="2" t="s">
        <v>66</v>
      </c>
      <c r="J55" s="2" t="s">
        <v>36</v>
      </c>
      <c r="K55" s="2" t="s">
        <v>67</v>
      </c>
      <c r="L55" s="2"/>
      <c r="M55" s="2" t="str">
        <f aca="false">IF(L55="","",IF(L55=0,"Low",IF(L55=1,"Medium","High")))</f>
        <v/>
      </c>
    </row>
    <row r="56" customFormat="false" ht="15" hidden="false" customHeight="false" outlineLevel="0" collapsed="false">
      <c r="A56" s="2" t="s">
        <v>138</v>
      </c>
      <c r="B56" s="2" t="s">
        <v>139</v>
      </c>
      <c r="C56" s="2" t="s">
        <v>30</v>
      </c>
      <c r="D56" s="6" t="n">
        <v>45443</v>
      </c>
      <c r="E56" s="2" t="s">
        <v>40</v>
      </c>
      <c r="F56" s="2" t="s">
        <v>41</v>
      </c>
      <c r="G56" s="2" t="s">
        <v>48</v>
      </c>
      <c r="H56" s="2" t="s">
        <v>43</v>
      </c>
      <c r="I56" s="2" t="s">
        <v>66</v>
      </c>
      <c r="J56" s="2" t="s">
        <v>79</v>
      </c>
      <c r="K56" s="2" t="s">
        <v>45</v>
      </c>
      <c r="L56" s="2" t="n">
        <v>1</v>
      </c>
      <c r="M56" s="2" t="str">
        <f aca="false">IF(L56="","",IF(L56=0,"Low",IF(L56=1,"Medium","High")))</f>
        <v>Medium</v>
      </c>
    </row>
    <row r="57" customFormat="false" ht="15" hidden="false" customHeight="false" outlineLevel="0" collapsed="false">
      <c r="A57" s="2" t="s">
        <v>140</v>
      </c>
      <c r="B57" s="2" t="s">
        <v>139</v>
      </c>
      <c r="C57" s="2" t="s">
        <v>39</v>
      </c>
      <c r="D57" s="6" t="n">
        <v>45808</v>
      </c>
      <c r="E57" s="2" t="s">
        <v>40</v>
      </c>
      <c r="F57" s="2" t="s">
        <v>41</v>
      </c>
      <c r="G57" s="2" t="s">
        <v>48</v>
      </c>
      <c r="H57" s="2" t="s">
        <v>49</v>
      </c>
      <c r="I57" s="2" t="s">
        <v>66</v>
      </c>
      <c r="J57" s="2" t="s">
        <v>44</v>
      </c>
      <c r="K57" s="2" t="s">
        <v>45</v>
      </c>
      <c r="L57" s="2" t="n">
        <v>2</v>
      </c>
      <c r="M57" s="2" t="str">
        <f aca="false">IF(L57="","",IF(L57=0,"Low",IF(L57=1,"Medium","High")))</f>
        <v>High</v>
      </c>
    </row>
    <row r="58" customFormat="false" ht="15" hidden="false" customHeight="false" outlineLevel="0" collapsed="false">
      <c r="A58" s="2" t="s">
        <v>141</v>
      </c>
      <c r="B58" s="2" t="s">
        <v>139</v>
      </c>
      <c r="C58" s="2" t="s">
        <v>47</v>
      </c>
      <c r="D58" s="6" t="n">
        <v>46173</v>
      </c>
      <c r="E58" s="2" t="s">
        <v>40</v>
      </c>
      <c r="F58" s="2" t="s">
        <v>41</v>
      </c>
      <c r="G58" s="2" t="s">
        <v>42</v>
      </c>
      <c r="H58" s="2" t="s">
        <v>52</v>
      </c>
      <c r="I58" s="2" t="s">
        <v>66</v>
      </c>
      <c r="J58" s="2" t="s">
        <v>44</v>
      </c>
      <c r="K58" s="2" t="s">
        <v>37</v>
      </c>
      <c r="L58" s="2"/>
      <c r="M58" s="2" t="str">
        <f aca="false">IF(L58="","",IF(L58=0,"Low",IF(L58=1,"Medium","High")))</f>
        <v/>
      </c>
    </row>
    <row r="59" customFormat="false" ht="15" hidden="false" customHeight="false" outlineLevel="0" collapsed="false">
      <c r="A59" s="2" t="s">
        <v>142</v>
      </c>
      <c r="B59" s="2" t="s">
        <v>143</v>
      </c>
      <c r="C59" s="2" t="s">
        <v>30</v>
      </c>
      <c r="D59" s="6" t="n">
        <v>45443</v>
      </c>
      <c r="E59" s="2" t="s">
        <v>64</v>
      </c>
      <c r="F59" s="2" t="s">
        <v>65</v>
      </c>
      <c r="G59" s="2" t="s">
        <v>65</v>
      </c>
      <c r="H59" s="2" t="s">
        <v>43</v>
      </c>
      <c r="I59" s="2" t="s">
        <v>35</v>
      </c>
      <c r="J59" s="2" t="s">
        <v>36</v>
      </c>
      <c r="K59" s="2" t="s">
        <v>67</v>
      </c>
      <c r="L59" s="2" t="n">
        <v>1</v>
      </c>
      <c r="M59" s="2" t="str">
        <f aca="false">IF(L59="","",IF(L59=0,"Low",IF(L59=1,"Medium","High")))</f>
        <v>Medium</v>
      </c>
    </row>
    <row r="60" customFormat="false" ht="15" hidden="false" customHeight="false" outlineLevel="0" collapsed="false">
      <c r="A60" s="2" t="s">
        <v>144</v>
      </c>
      <c r="B60" s="2" t="s">
        <v>143</v>
      </c>
      <c r="C60" s="2" t="s">
        <v>39</v>
      </c>
      <c r="D60" s="6" t="n">
        <v>45808</v>
      </c>
      <c r="E60" s="2" t="s">
        <v>31</v>
      </c>
      <c r="F60" s="2" t="s">
        <v>56</v>
      </c>
      <c r="G60" s="2" t="s">
        <v>42</v>
      </c>
      <c r="H60" s="2" t="s">
        <v>49</v>
      </c>
      <c r="I60" s="2" t="s">
        <v>35</v>
      </c>
      <c r="J60" s="2" t="s">
        <v>36</v>
      </c>
      <c r="K60" s="2" t="s">
        <v>37</v>
      </c>
      <c r="L60" s="2" t="n">
        <v>0</v>
      </c>
      <c r="M60" s="2" t="str">
        <f aca="false">IF(L60="","",IF(L60=0,"Low",IF(L60=1,"Medium","High")))</f>
        <v>Low</v>
      </c>
    </row>
    <row r="61" customFormat="false" ht="15" hidden="false" customHeight="false" outlineLevel="0" collapsed="false">
      <c r="A61" s="2" t="s">
        <v>145</v>
      </c>
      <c r="B61" s="2" t="s">
        <v>143</v>
      </c>
      <c r="C61" s="2" t="s">
        <v>47</v>
      </c>
      <c r="D61" s="6" t="n">
        <v>46173</v>
      </c>
      <c r="E61" s="2" t="s">
        <v>31</v>
      </c>
      <c r="F61" s="2" t="s">
        <v>56</v>
      </c>
      <c r="G61" s="2" t="s">
        <v>33</v>
      </c>
      <c r="H61" s="2" t="s">
        <v>52</v>
      </c>
      <c r="I61" s="2" t="s">
        <v>35</v>
      </c>
      <c r="J61" s="2" t="s">
        <v>36</v>
      </c>
      <c r="K61" s="2" t="s">
        <v>37</v>
      </c>
      <c r="L61" s="2"/>
      <c r="M61" s="2" t="str">
        <f aca="false">IF(L61="","",IF(L61=0,"Low",IF(L61=1,"Medium","High")))</f>
        <v/>
      </c>
    </row>
    <row r="62" customFormat="false" ht="15" hidden="false" customHeight="false" outlineLevel="0" collapsed="false">
      <c r="A62" s="2" t="s">
        <v>146</v>
      </c>
      <c r="B62" s="2" t="s">
        <v>147</v>
      </c>
      <c r="C62" s="2" t="s">
        <v>30</v>
      </c>
      <c r="D62" s="6" t="n">
        <v>45443</v>
      </c>
      <c r="E62" s="2" t="s">
        <v>64</v>
      </c>
      <c r="F62" s="2" t="s">
        <v>65</v>
      </c>
      <c r="G62" s="2" t="s">
        <v>65</v>
      </c>
      <c r="H62" s="2" t="s">
        <v>34</v>
      </c>
      <c r="I62" s="2" t="s">
        <v>66</v>
      </c>
      <c r="J62" s="2" t="s">
        <v>36</v>
      </c>
      <c r="K62" s="2" t="s">
        <v>67</v>
      </c>
      <c r="L62" s="2" t="n">
        <v>0</v>
      </c>
      <c r="M62" s="2" t="str">
        <f aca="false">IF(L62="","",IF(L62=0,"Low",IF(L62=1,"Medium","High")))</f>
        <v>Low</v>
      </c>
    </row>
    <row r="63" customFormat="false" ht="15" hidden="false" customHeight="false" outlineLevel="0" collapsed="false">
      <c r="A63" s="2" t="s">
        <v>148</v>
      </c>
      <c r="B63" s="2" t="s">
        <v>147</v>
      </c>
      <c r="C63" s="2" t="s">
        <v>39</v>
      </c>
      <c r="D63" s="6" t="n">
        <v>45808</v>
      </c>
      <c r="E63" s="2" t="s">
        <v>64</v>
      </c>
      <c r="F63" s="2" t="s">
        <v>65</v>
      </c>
      <c r="G63" s="2" t="s">
        <v>65</v>
      </c>
      <c r="H63" s="2" t="s">
        <v>43</v>
      </c>
      <c r="I63" s="2" t="s">
        <v>66</v>
      </c>
      <c r="J63" s="2" t="s">
        <v>36</v>
      </c>
      <c r="K63" s="2" t="s">
        <v>67</v>
      </c>
      <c r="L63" s="2" t="n">
        <v>1</v>
      </c>
      <c r="M63" s="2" t="str">
        <f aca="false">IF(L63="","",IF(L63=0,"Low",IF(L63=1,"Medium","High")))</f>
        <v>Medium</v>
      </c>
    </row>
    <row r="64" customFormat="false" ht="15" hidden="false" customHeight="false" outlineLevel="0" collapsed="false">
      <c r="A64" s="2" t="s">
        <v>149</v>
      </c>
      <c r="B64" s="2" t="s">
        <v>147</v>
      </c>
      <c r="C64" s="2" t="s">
        <v>47</v>
      </c>
      <c r="D64" s="6" t="n">
        <v>46173</v>
      </c>
      <c r="E64" s="2" t="s">
        <v>31</v>
      </c>
      <c r="F64" s="2" t="s">
        <v>32</v>
      </c>
      <c r="G64" s="2" t="s">
        <v>33</v>
      </c>
      <c r="H64" s="2" t="s">
        <v>49</v>
      </c>
      <c r="I64" s="2" t="s">
        <v>66</v>
      </c>
      <c r="J64" s="2" t="s">
        <v>36</v>
      </c>
      <c r="K64" s="2" t="s">
        <v>45</v>
      </c>
      <c r="L64" s="2"/>
      <c r="M64" s="2" t="str">
        <f aca="false">IF(L64="","",IF(L64=0,"Low",IF(L64=1,"Medium","High")))</f>
        <v/>
      </c>
    </row>
    <row r="65" customFormat="false" ht="15" hidden="false" customHeight="false" outlineLevel="0" collapsed="false">
      <c r="A65" s="2" t="s">
        <v>150</v>
      </c>
      <c r="B65" s="2" t="s">
        <v>151</v>
      </c>
      <c r="C65" s="2" t="s">
        <v>30</v>
      </c>
      <c r="D65" s="6" t="n">
        <v>45443</v>
      </c>
      <c r="E65" s="2" t="s">
        <v>60</v>
      </c>
      <c r="F65" s="2" t="s">
        <v>41</v>
      </c>
      <c r="G65" s="2" t="s">
        <v>48</v>
      </c>
      <c r="H65" s="2" t="s">
        <v>34</v>
      </c>
      <c r="I65" s="2" t="s">
        <v>66</v>
      </c>
      <c r="J65" s="2" t="s">
        <v>79</v>
      </c>
      <c r="K65" s="2" t="s">
        <v>45</v>
      </c>
      <c r="L65" s="2" t="n">
        <v>0</v>
      </c>
      <c r="M65" s="2" t="str">
        <f aca="false">IF(L65="","",IF(L65=0,"Low",IF(L65=1,"Medium","High")))</f>
        <v>Low</v>
      </c>
    </row>
    <row r="66" customFormat="false" ht="15" hidden="false" customHeight="false" outlineLevel="0" collapsed="false">
      <c r="A66" s="2" t="s">
        <v>152</v>
      </c>
      <c r="B66" s="2" t="s">
        <v>151</v>
      </c>
      <c r="C66" s="2" t="s">
        <v>39</v>
      </c>
      <c r="D66" s="6" t="n">
        <v>45808</v>
      </c>
      <c r="E66" s="2" t="s">
        <v>60</v>
      </c>
      <c r="F66" s="2" t="s">
        <v>41</v>
      </c>
      <c r="G66" s="2" t="s">
        <v>33</v>
      </c>
      <c r="H66" s="2" t="s">
        <v>43</v>
      </c>
      <c r="I66" s="2" t="s">
        <v>66</v>
      </c>
      <c r="J66" s="2" t="s">
        <v>79</v>
      </c>
      <c r="K66" s="2" t="s">
        <v>45</v>
      </c>
      <c r="L66" s="2" t="n">
        <v>2</v>
      </c>
      <c r="M66" s="2" t="str">
        <f aca="false">IF(L66="","",IF(L66=0,"Low",IF(L66=1,"Medium","High")))</f>
        <v>High</v>
      </c>
    </row>
    <row r="67" customFormat="false" ht="15" hidden="false" customHeight="false" outlineLevel="0" collapsed="false">
      <c r="A67" s="2" t="s">
        <v>153</v>
      </c>
      <c r="B67" s="2" t="s">
        <v>151</v>
      </c>
      <c r="C67" s="2" t="s">
        <v>47</v>
      </c>
      <c r="D67" s="6" t="n">
        <v>46173</v>
      </c>
      <c r="E67" s="2" t="s">
        <v>40</v>
      </c>
      <c r="F67" s="2" t="s">
        <v>41</v>
      </c>
      <c r="G67" s="2" t="s">
        <v>48</v>
      </c>
      <c r="H67" s="2" t="s">
        <v>49</v>
      </c>
      <c r="I67" s="2" t="s">
        <v>66</v>
      </c>
      <c r="J67" s="2" t="s">
        <v>44</v>
      </c>
      <c r="K67" s="2" t="s">
        <v>45</v>
      </c>
      <c r="L67" s="2"/>
      <c r="M67" s="2" t="str">
        <f aca="false">IF(L67="","",IF(L67=0,"Low",IF(L67=1,"Medium","High")))</f>
        <v/>
      </c>
    </row>
    <row r="68" customFormat="false" ht="15" hidden="false" customHeight="false" outlineLevel="0" collapsed="false">
      <c r="A68" s="2" t="s">
        <v>154</v>
      </c>
      <c r="B68" s="2" t="s">
        <v>155</v>
      </c>
      <c r="C68" s="2" t="s">
        <v>30</v>
      </c>
      <c r="D68" s="6" t="n">
        <v>45443</v>
      </c>
      <c r="E68" s="2" t="s">
        <v>31</v>
      </c>
      <c r="F68" s="2" t="s">
        <v>56</v>
      </c>
      <c r="G68" s="2" t="s">
        <v>48</v>
      </c>
      <c r="H68" s="2" t="s">
        <v>52</v>
      </c>
      <c r="I68" s="2" t="s">
        <v>86</v>
      </c>
      <c r="J68" s="2" t="s">
        <v>36</v>
      </c>
      <c r="K68" s="2" t="s">
        <v>45</v>
      </c>
      <c r="L68" s="2"/>
      <c r="M68" s="2" t="str">
        <f aca="false">IF(L68="","",IF(L68=0,"Low",IF(L68=1,"Medium","High")))</f>
        <v/>
      </c>
    </row>
    <row r="69" customFormat="false" ht="15" hidden="false" customHeight="false" outlineLevel="0" collapsed="false">
      <c r="A69" s="2" t="s">
        <v>156</v>
      </c>
      <c r="B69" s="2" t="s">
        <v>157</v>
      </c>
      <c r="C69" s="2" t="s">
        <v>30</v>
      </c>
      <c r="D69" s="6" t="n">
        <v>45443</v>
      </c>
      <c r="E69" s="2" t="s">
        <v>31</v>
      </c>
      <c r="F69" s="2" t="s">
        <v>32</v>
      </c>
      <c r="G69" s="2" t="s">
        <v>33</v>
      </c>
      <c r="H69" s="2" t="s">
        <v>43</v>
      </c>
      <c r="I69" s="2" t="s">
        <v>66</v>
      </c>
      <c r="J69" s="2" t="s">
        <v>36</v>
      </c>
      <c r="K69" s="2" t="s">
        <v>45</v>
      </c>
      <c r="L69" s="2" t="n">
        <v>0</v>
      </c>
      <c r="M69" s="2" t="str">
        <f aca="false">IF(L69="","",IF(L69=0,"Low",IF(L69=1,"Medium","High")))</f>
        <v>Low</v>
      </c>
    </row>
    <row r="70" customFormat="false" ht="15" hidden="false" customHeight="false" outlineLevel="0" collapsed="false">
      <c r="A70" s="2" t="s">
        <v>158</v>
      </c>
      <c r="B70" s="2" t="s">
        <v>157</v>
      </c>
      <c r="C70" s="2" t="s">
        <v>39</v>
      </c>
      <c r="D70" s="6" t="n">
        <v>45808</v>
      </c>
      <c r="E70" s="2" t="s">
        <v>31</v>
      </c>
      <c r="F70" s="2" t="s">
        <v>32</v>
      </c>
      <c r="G70" s="2" t="s">
        <v>33</v>
      </c>
      <c r="H70" s="2" t="s">
        <v>49</v>
      </c>
      <c r="I70" s="2" t="s">
        <v>66</v>
      </c>
      <c r="J70" s="2" t="s">
        <v>36</v>
      </c>
      <c r="K70" s="2" t="s">
        <v>45</v>
      </c>
      <c r="L70" s="2" t="n">
        <v>1</v>
      </c>
      <c r="M70" s="2" t="str">
        <f aca="false">IF(L70="","",IF(L70=0,"Low",IF(L70=1,"Medium","High")))</f>
        <v>Medium</v>
      </c>
    </row>
    <row r="71" customFormat="false" ht="15" hidden="false" customHeight="false" outlineLevel="0" collapsed="false">
      <c r="A71" s="2" t="s">
        <v>159</v>
      </c>
      <c r="B71" s="2" t="s">
        <v>157</v>
      </c>
      <c r="C71" s="2" t="s">
        <v>47</v>
      </c>
      <c r="D71" s="6" t="n">
        <v>46173</v>
      </c>
      <c r="E71" s="2" t="s">
        <v>60</v>
      </c>
      <c r="F71" s="2" t="s">
        <v>32</v>
      </c>
      <c r="G71" s="2" t="s">
        <v>33</v>
      </c>
      <c r="H71" s="2" t="s">
        <v>52</v>
      </c>
      <c r="I71" s="2" t="s">
        <v>66</v>
      </c>
      <c r="J71" s="2" t="s">
        <v>44</v>
      </c>
      <c r="K71" s="2" t="s">
        <v>37</v>
      </c>
      <c r="L71" s="2"/>
      <c r="M71" s="2" t="str">
        <f aca="false">IF(L71="","",IF(L71=0,"Low",IF(L71=1,"Medium","High")))</f>
        <v/>
      </c>
    </row>
    <row r="72" customFormat="false" ht="15" hidden="false" customHeight="false" outlineLevel="0" collapsed="false">
      <c r="A72" s="2" t="s">
        <v>160</v>
      </c>
      <c r="B72" s="2" t="s">
        <v>161</v>
      </c>
      <c r="C72" s="2" t="s">
        <v>30</v>
      </c>
      <c r="D72" s="6" t="n">
        <v>45443</v>
      </c>
      <c r="E72" s="2" t="s">
        <v>64</v>
      </c>
      <c r="F72" s="2" t="s">
        <v>65</v>
      </c>
      <c r="G72" s="2" t="s">
        <v>65</v>
      </c>
      <c r="H72" s="2" t="s">
        <v>34</v>
      </c>
      <c r="I72" s="2" t="s">
        <v>86</v>
      </c>
      <c r="J72" s="2" t="s">
        <v>36</v>
      </c>
      <c r="K72" s="2" t="s">
        <v>67</v>
      </c>
      <c r="L72" s="2"/>
      <c r="M72" s="2" t="str">
        <f aca="false">IF(L72="","",IF(L72=0,"Low",IF(L72=1,"Medium","High")))</f>
        <v/>
      </c>
    </row>
    <row r="73" customFormat="false" ht="15" hidden="false" customHeight="false" outlineLevel="0" collapsed="false">
      <c r="A73" s="2" t="s">
        <v>162</v>
      </c>
      <c r="B73" s="2" t="s">
        <v>163</v>
      </c>
      <c r="C73" s="2" t="s">
        <v>30</v>
      </c>
      <c r="D73" s="6" t="n">
        <v>45443</v>
      </c>
      <c r="E73" s="2" t="s">
        <v>60</v>
      </c>
      <c r="F73" s="2" t="s">
        <v>32</v>
      </c>
      <c r="G73" s="2" t="s">
        <v>48</v>
      </c>
      <c r="H73" s="2" t="s">
        <v>34</v>
      </c>
      <c r="I73" s="2" t="s">
        <v>86</v>
      </c>
      <c r="J73" s="2" t="s">
        <v>44</v>
      </c>
      <c r="K73" s="2" t="s">
        <v>45</v>
      </c>
      <c r="L73" s="2" t="n">
        <v>3</v>
      </c>
      <c r="M73" s="2" t="str">
        <f aca="false">IF(L73="","",IF(L73=0,"Low",IF(L73=1,"Medium","High")))</f>
        <v>High</v>
      </c>
    </row>
    <row r="74" customFormat="false" ht="15" hidden="false" customHeight="false" outlineLevel="0" collapsed="false">
      <c r="A74" s="2" t="s">
        <v>164</v>
      </c>
      <c r="B74" s="2" t="s">
        <v>163</v>
      </c>
      <c r="C74" s="2" t="s">
        <v>39</v>
      </c>
      <c r="D74" s="6" t="n">
        <v>45808</v>
      </c>
      <c r="E74" s="2" t="s">
        <v>40</v>
      </c>
      <c r="F74" s="2" t="s">
        <v>41</v>
      </c>
      <c r="G74" s="2" t="s">
        <v>33</v>
      </c>
      <c r="H74" s="2" t="s">
        <v>43</v>
      </c>
      <c r="I74" s="2" t="s">
        <v>86</v>
      </c>
      <c r="J74" s="2" t="s">
        <v>44</v>
      </c>
      <c r="K74" s="2" t="s">
        <v>45</v>
      </c>
      <c r="L74" s="2" t="n">
        <v>0</v>
      </c>
      <c r="M74" s="2" t="str">
        <f aca="false">IF(L74="","",IF(L74=0,"Low",IF(L74=1,"Medium","High")))</f>
        <v>Low</v>
      </c>
    </row>
    <row r="75" customFormat="false" ht="15" hidden="false" customHeight="false" outlineLevel="0" collapsed="false">
      <c r="A75" s="2" t="s">
        <v>165</v>
      </c>
      <c r="B75" s="2" t="s">
        <v>163</v>
      </c>
      <c r="C75" s="2" t="s">
        <v>47</v>
      </c>
      <c r="D75" s="6" t="n">
        <v>46173</v>
      </c>
      <c r="E75" s="2" t="s">
        <v>40</v>
      </c>
      <c r="F75" s="2" t="s">
        <v>41</v>
      </c>
      <c r="G75" s="2" t="s">
        <v>33</v>
      </c>
      <c r="H75" s="2" t="s">
        <v>49</v>
      </c>
      <c r="I75" s="2" t="s">
        <v>86</v>
      </c>
      <c r="J75" s="2" t="s">
        <v>44</v>
      </c>
      <c r="K75" s="2" t="s">
        <v>45</v>
      </c>
      <c r="L75" s="2"/>
      <c r="M75" s="2" t="str">
        <f aca="false">IF(L75="","",IF(L75=0,"Low",IF(L75=1,"Medium","High")))</f>
        <v/>
      </c>
    </row>
    <row r="76" customFormat="false" ht="15" hidden="false" customHeight="false" outlineLevel="0" collapsed="false">
      <c r="A76" s="2" t="s">
        <v>166</v>
      </c>
      <c r="B76" s="2" t="s">
        <v>167</v>
      </c>
      <c r="C76" s="2" t="s">
        <v>30</v>
      </c>
      <c r="D76" s="6" t="n">
        <v>45443</v>
      </c>
      <c r="E76" s="2" t="s">
        <v>64</v>
      </c>
      <c r="F76" s="2" t="s">
        <v>65</v>
      </c>
      <c r="G76" s="2" t="s">
        <v>65</v>
      </c>
      <c r="H76" s="2" t="s">
        <v>34</v>
      </c>
      <c r="I76" s="2" t="s">
        <v>86</v>
      </c>
      <c r="J76" s="2" t="s">
        <v>36</v>
      </c>
      <c r="K76" s="2" t="s">
        <v>67</v>
      </c>
      <c r="L76" s="2" t="n">
        <v>0</v>
      </c>
      <c r="M76" s="2" t="str">
        <f aca="false">IF(L76="","",IF(L76=0,"Low",IF(L76=1,"Medium","High")))</f>
        <v>Low</v>
      </c>
    </row>
    <row r="77" customFormat="false" ht="15" hidden="false" customHeight="false" outlineLevel="0" collapsed="false">
      <c r="A77" s="2" t="s">
        <v>168</v>
      </c>
      <c r="B77" s="2" t="s">
        <v>167</v>
      </c>
      <c r="C77" s="2" t="s">
        <v>39</v>
      </c>
      <c r="D77" s="6" t="n">
        <v>45808</v>
      </c>
      <c r="E77" s="2" t="s">
        <v>64</v>
      </c>
      <c r="F77" s="2" t="s">
        <v>65</v>
      </c>
      <c r="G77" s="2" t="s">
        <v>65</v>
      </c>
      <c r="H77" s="2" t="s">
        <v>43</v>
      </c>
      <c r="I77" s="2" t="s">
        <v>86</v>
      </c>
      <c r="J77" s="2" t="s">
        <v>36</v>
      </c>
      <c r="K77" s="2" t="s">
        <v>67</v>
      </c>
      <c r="L77" s="2" t="n">
        <v>1</v>
      </c>
      <c r="M77" s="2" t="str">
        <f aca="false">IF(L77="","",IF(L77=0,"Low",IF(L77=1,"Medium","High")))</f>
        <v>Medium</v>
      </c>
    </row>
    <row r="78" customFormat="false" ht="15" hidden="false" customHeight="false" outlineLevel="0" collapsed="false">
      <c r="A78" s="2" t="s">
        <v>169</v>
      </c>
      <c r="B78" s="2" t="s">
        <v>167</v>
      </c>
      <c r="C78" s="2" t="s">
        <v>47</v>
      </c>
      <c r="D78" s="6" t="n">
        <v>46173</v>
      </c>
      <c r="E78" s="2" t="s">
        <v>31</v>
      </c>
      <c r="F78" s="2" t="s">
        <v>56</v>
      </c>
      <c r="G78" s="2" t="s">
        <v>33</v>
      </c>
      <c r="H78" s="2" t="s">
        <v>49</v>
      </c>
      <c r="I78" s="2" t="s">
        <v>86</v>
      </c>
      <c r="J78" s="2" t="s">
        <v>36</v>
      </c>
      <c r="K78" s="2" t="s">
        <v>45</v>
      </c>
      <c r="L78" s="2"/>
      <c r="M78" s="2" t="str">
        <f aca="false">IF(L78="","",IF(L78=0,"Low",IF(L78=1,"Medium","High")))</f>
        <v/>
      </c>
    </row>
    <row r="79" customFormat="false" ht="15" hidden="false" customHeight="false" outlineLevel="0" collapsed="false">
      <c r="A79" s="2" t="s">
        <v>170</v>
      </c>
      <c r="B79" s="2" t="s">
        <v>171</v>
      </c>
      <c r="C79" s="2" t="s">
        <v>30</v>
      </c>
      <c r="D79" s="6" t="n">
        <v>45443</v>
      </c>
      <c r="E79" s="2" t="s">
        <v>31</v>
      </c>
      <c r="F79" s="2" t="s">
        <v>32</v>
      </c>
      <c r="G79" s="2" t="s">
        <v>42</v>
      </c>
      <c r="H79" s="2" t="s">
        <v>52</v>
      </c>
      <c r="I79" s="2" t="s">
        <v>35</v>
      </c>
      <c r="J79" s="2" t="s">
        <v>36</v>
      </c>
      <c r="K79" s="2" t="s">
        <v>67</v>
      </c>
      <c r="L79" s="2"/>
      <c r="M79" s="2" t="str">
        <f aca="false">IF(L79="","",IF(L79=0,"Low",IF(L79=1,"Medium","High")))</f>
        <v/>
      </c>
    </row>
    <row r="80" customFormat="false" ht="15" hidden="false" customHeight="false" outlineLevel="0" collapsed="false">
      <c r="A80" s="2" t="s">
        <v>172</v>
      </c>
      <c r="B80" s="2" t="s">
        <v>173</v>
      </c>
      <c r="C80" s="2" t="s">
        <v>30</v>
      </c>
      <c r="D80" s="6" t="n">
        <v>45443</v>
      </c>
      <c r="E80" s="2" t="s">
        <v>31</v>
      </c>
      <c r="F80" s="2" t="s">
        <v>32</v>
      </c>
      <c r="G80" s="2" t="s">
        <v>110</v>
      </c>
      <c r="H80" s="2" t="s">
        <v>52</v>
      </c>
      <c r="I80" s="2" t="s">
        <v>66</v>
      </c>
      <c r="J80" s="2" t="s">
        <v>36</v>
      </c>
      <c r="K80" s="2" t="s">
        <v>45</v>
      </c>
      <c r="L80" s="2"/>
      <c r="M80" s="2" t="str">
        <f aca="false">IF(L80="","",IF(L80=0,"Low",IF(L80=1,"Medium","High")))</f>
        <v/>
      </c>
    </row>
    <row r="81" customFormat="false" ht="15" hidden="false" customHeight="false" outlineLevel="0" collapsed="false">
      <c r="A81" s="2" t="s">
        <v>174</v>
      </c>
      <c r="B81" s="2" t="s">
        <v>175</v>
      </c>
      <c r="C81" s="2" t="s">
        <v>30</v>
      </c>
      <c r="D81" s="6" t="n">
        <v>45443</v>
      </c>
      <c r="E81" s="2" t="s">
        <v>31</v>
      </c>
      <c r="F81" s="2" t="s">
        <v>32</v>
      </c>
      <c r="G81" s="2" t="s">
        <v>48</v>
      </c>
      <c r="H81" s="2" t="s">
        <v>52</v>
      </c>
      <c r="I81" s="2" t="s">
        <v>53</v>
      </c>
      <c r="J81" s="2" t="s">
        <v>36</v>
      </c>
      <c r="K81" s="2" t="s">
        <v>45</v>
      </c>
      <c r="L81" s="2"/>
      <c r="M81" s="2" t="str">
        <f aca="false">IF(L81="","",IF(L81=0,"Low",IF(L81=1,"Medium","High")))</f>
        <v/>
      </c>
    </row>
    <row r="82" customFormat="false" ht="15" hidden="false" customHeight="false" outlineLevel="0" collapsed="false">
      <c r="A82" s="2" t="s">
        <v>176</v>
      </c>
      <c r="B82" s="2" t="s">
        <v>177</v>
      </c>
      <c r="C82" s="2" t="s">
        <v>30</v>
      </c>
      <c r="D82" s="6" t="n">
        <v>45443</v>
      </c>
      <c r="E82" s="2" t="s">
        <v>64</v>
      </c>
      <c r="F82" s="2" t="s">
        <v>65</v>
      </c>
      <c r="G82" s="2" t="s">
        <v>65</v>
      </c>
      <c r="H82" s="2" t="s">
        <v>49</v>
      </c>
      <c r="I82" s="2" t="s">
        <v>53</v>
      </c>
      <c r="J82" s="2" t="s">
        <v>36</v>
      </c>
      <c r="K82" s="2" t="s">
        <v>67</v>
      </c>
      <c r="L82" s="2" t="n">
        <v>2</v>
      </c>
      <c r="M82" s="2" t="str">
        <f aca="false">IF(L82="","",IF(L82=0,"Low",IF(L82=1,"Medium","High")))</f>
        <v>High</v>
      </c>
    </row>
    <row r="83" customFormat="false" ht="15" hidden="false" customHeight="false" outlineLevel="0" collapsed="false">
      <c r="A83" s="2" t="s">
        <v>178</v>
      </c>
      <c r="B83" s="2" t="s">
        <v>177</v>
      </c>
      <c r="C83" s="2" t="s">
        <v>39</v>
      </c>
      <c r="D83" s="6" t="n">
        <v>45808</v>
      </c>
      <c r="E83" s="2" t="s">
        <v>60</v>
      </c>
      <c r="F83" s="2" t="s">
        <v>32</v>
      </c>
      <c r="G83" s="2" t="s">
        <v>48</v>
      </c>
      <c r="H83" s="2" t="s">
        <v>52</v>
      </c>
      <c r="I83" s="2" t="s">
        <v>53</v>
      </c>
      <c r="J83" s="2" t="s">
        <v>44</v>
      </c>
      <c r="K83" s="2" t="s">
        <v>45</v>
      </c>
      <c r="L83" s="2"/>
      <c r="M83" s="2" t="str">
        <f aca="false">IF(L83="","",IF(L83=0,"Low",IF(L83=1,"Medium","High")))</f>
        <v/>
      </c>
    </row>
    <row r="84" customFormat="false" ht="15" hidden="false" customHeight="false" outlineLevel="0" collapsed="false">
      <c r="A84" s="2" t="s">
        <v>179</v>
      </c>
      <c r="B84" s="2" t="s">
        <v>180</v>
      </c>
      <c r="C84" s="2" t="s">
        <v>30</v>
      </c>
      <c r="D84" s="6" t="n">
        <v>45443</v>
      </c>
      <c r="E84" s="2" t="s">
        <v>60</v>
      </c>
      <c r="F84" s="2" t="s">
        <v>56</v>
      </c>
      <c r="G84" s="2" t="s">
        <v>48</v>
      </c>
      <c r="H84" s="2" t="s">
        <v>49</v>
      </c>
      <c r="I84" s="2" t="s">
        <v>86</v>
      </c>
      <c r="J84" s="2" t="s">
        <v>79</v>
      </c>
      <c r="K84" s="2" t="s">
        <v>45</v>
      </c>
      <c r="L84" s="2"/>
      <c r="M84" s="2" t="str">
        <f aca="false">IF(L84="","",IF(L84=0,"Low",IF(L84=1,"Medium","High")))</f>
        <v/>
      </c>
    </row>
    <row r="85" customFormat="false" ht="15" hidden="false" customHeight="false" outlineLevel="0" collapsed="false">
      <c r="A85" s="2" t="s">
        <v>181</v>
      </c>
      <c r="B85" s="2" t="s">
        <v>182</v>
      </c>
      <c r="C85" s="2" t="s">
        <v>30</v>
      </c>
      <c r="D85" s="6" t="n">
        <v>45443</v>
      </c>
      <c r="E85" s="2" t="s">
        <v>31</v>
      </c>
      <c r="F85" s="2" t="s">
        <v>32</v>
      </c>
      <c r="G85" s="2" t="s">
        <v>110</v>
      </c>
      <c r="H85" s="2" t="s">
        <v>34</v>
      </c>
      <c r="I85" s="2" t="s">
        <v>53</v>
      </c>
      <c r="J85" s="2" t="s">
        <v>36</v>
      </c>
      <c r="K85" s="2" t="s">
        <v>37</v>
      </c>
      <c r="L85" s="2" t="n">
        <v>1</v>
      </c>
      <c r="M85" s="2" t="str">
        <f aca="false">IF(L85="","",IF(L85=0,"Low",IF(L85=1,"Medium","High")))</f>
        <v>Medium</v>
      </c>
    </row>
    <row r="86" customFormat="false" ht="15" hidden="false" customHeight="false" outlineLevel="0" collapsed="false">
      <c r="A86" s="2" t="s">
        <v>183</v>
      </c>
      <c r="B86" s="2" t="s">
        <v>182</v>
      </c>
      <c r="C86" s="2" t="s">
        <v>39</v>
      </c>
      <c r="D86" s="6" t="n">
        <v>45808</v>
      </c>
      <c r="E86" s="2" t="s">
        <v>60</v>
      </c>
      <c r="F86" s="2" t="s">
        <v>32</v>
      </c>
      <c r="G86" s="2" t="s">
        <v>48</v>
      </c>
      <c r="H86" s="2" t="s">
        <v>43</v>
      </c>
      <c r="I86" s="2" t="s">
        <v>53</v>
      </c>
      <c r="J86" s="2" t="s">
        <v>44</v>
      </c>
      <c r="K86" s="2" t="s">
        <v>37</v>
      </c>
      <c r="L86" s="2" t="n">
        <v>1</v>
      </c>
      <c r="M86" s="2" t="str">
        <f aca="false">IF(L86="","",IF(L86=0,"Low",IF(L86=1,"Medium","High")))</f>
        <v>Medium</v>
      </c>
    </row>
    <row r="87" customFormat="false" ht="15" hidden="false" customHeight="false" outlineLevel="0" collapsed="false">
      <c r="A87" s="2" t="s">
        <v>184</v>
      </c>
      <c r="B87" s="2" t="s">
        <v>182</v>
      </c>
      <c r="C87" s="2" t="s">
        <v>47</v>
      </c>
      <c r="D87" s="6" t="n">
        <v>46173</v>
      </c>
      <c r="E87" s="2" t="s">
        <v>60</v>
      </c>
      <c r="F87" s="2" t="s">
        <v>41</v>
      </c>
      <c r="G87" s="2" t="s">
        <v>42</v>
      </c>
      <c r="H87" s="2" t="s">
        <v>49</v>
      </c>
      <c r="I87" s="2" t="s">
        <v>53</v>
      </c>
      <c r="J87" s="2" t="s">
        <v>44</v>
      </c>
      <c r="K87" s="2" t="s">
        <v>57</v>
      </c>
      <c r="L87" s="2"/>
      <c r="M87" s="2" t="str">
        <f aca="false">IF(L87="","",IF(L87=0,"Low",IF(L87=1,"Medium","High")))</f>
        <v/>
      </c>
    </row>
    <row r="88" customFormat="false" ht="15" hidden="false" customHeight="false" outlineLevel="0" collapsed="false">
      <c r="A88" s="2" t="s">
        <v>185</v>
      </c>
      <c r="B88" s="2" t="s">
        <v>186</v>
      </c>
      <c r="C88" s="2" t="s">
        <v>30</v>
      </c>
      <c r="D88" s="6" t="n">
        <v>45443</v>
      </c>
      <c r="E88" s="2" t="s">
        <v>64</v>
      </c>
      <c r="F88" s="2" t="s">
        <v>65</v>
      </c>
      <c r="G88" s="2" t="s">
        <v>65</v>
      </c>
      <c r="H88" s="2" t="s">
        <v>43</v>
      </c>
      <c r="I88" s="2" t="s">
        <v>86</v>
      </c>
      <c r="J88" s="2" t="s">
        <v>36</v>
      </c>
      <c r="K88" s="2" t="s">
        <v>67</v>
      </c>
      <c r="L88" s="2" t="n">
        <v>1</v>
      </c>
      <c r="M88" s="2" t="str">
        <f aca="false">IF(L88="","",IF(L88=0,"Low",IF(L88=1,"Medium","High")))</f>
        <v>Medium</v>
      </c>
    </row>
    <row r="89" customFormat="false" ht="15" hidden="false" customHeight="false" outlineLevel="0" collapsed="false">
      <c r="A89" s="2" t="s">
        <v>187</v>
      </c>
      <c r="B89" s="2" t="s">
        <v>186</v>
      </c>
      <c r="C89" s="2" t="s">
        <v>39</v>
      </c>
      <c r="D89" s="6" t="n">
        <v>45808</v>
      </c>
      <c r="E89" s="2" t="s">
        <v>31</v>
      </c>
      <c r="F89" s="2" t="s">
        <v>56</v>
      </c>
      <c r="G89" s="2" t="s">
        <v>33</v>
      </c>
      <c r="H89" s="2" t="s">
        <v>49</v>
      </c>
      <c r="I89" s="2" t="s">
        <v>86</v>
      </c>
      <c r="J89" s="2" t="s">
        <v>36</v>
      </c>
      <c r="K89" s="2" t="s">
        <v>37</v>
      </c>
      <c r="L89" s="2" t="n">
        <v>1</v>
      </c>
      <c r="M89" s="2" t="str">
        <f aca="false">IF(L89="","",IF(L89=0,"Low",IF(L89=1,"Medium","High")))</f>
        <v>Medium</v>
      </c>
    </row>
    <row r="90" customFormat="false" ht="15" hidden="false" customHeight="false" outlineLevel="0" collapsed="false">
      <c r="A90" s="2" t="s">
        <v>188</v>
      </c>
      <c r="B90" s="2" t="s">
        <v>186</v>
      </c>
      <c r="C90" s="2" t="s">
        <v>47</v>
      </c>
      <c r="D90" s="6" t="n">
        <v>46173</v>
      </c>
      <c r="E90" s="2" t="s">
        <v>60</v>
      </c>
      <c r="F90" s="2" t="s">
        <v>56</v>
      </c>
      <c r="G90" s="2" t="s">
        <v>33</v>
      </c>
      <c r="H90" s="2" t="s">
        <v>52</v>
      </c>
      <c r="I90" s="2" t="s">
        <v>86</v>
      </c>
      <c r="J90" s="2" t="s">
        <v>44</v>
      </c>
      <c r="K90" s="2" t="s">
        <v>45</v>
      </c>
      <c r="L90" s="2"/>
      <c r="M90" s="2" t="str">
        <f aca="false">IF(L90="","",IF(L90=0,"Low",IF(L90=1,"Medium","High")))</f>
        <v/>
      </c>
    </row>
    <row r="91" customFormat="false" ht="15" hidden="false" customHeight="false" outlineLevel="0" collapsed="false">
      <c r="A91" s="2" t="s">
        <v>189</v>
      </c>
      <c r="B91" s="2" t="s">
        <v>190</v>
      </c>
      <c r="C91" s="2" t="s">
        <v>30</v>
      </c>
      <c r="D91" s="6" t="n">
        <v>45443</v>
      </c>
      <c r="E91" s="2" t="s">
        <v>64</v>
      </c>
      <c r="F91" s="2" t="s">
        <v>65</v>
      </c>
      <c r="G91" s="2" t="s">
        <v>65</v>
      </c>
      <c r="H91" s="2" t="s">
        <v>43</v>
      </c>
      <c r="I91" s="2" t="s">
        <v>86</v>
      </c>
      <c r="J91" s="2" t="s">
        <v>36</v>
      </c>
      <c r="K91" s="2" t="s">
        <v>67</v>
      </c>
      <c r="L91" s="2" t="n">
        <v>1</v>
      </c>
      <c r="M91" s="2" t="str">
        <f aca="false">IF(L91="","",IF(L91=0,"Low",IF(L91=1,"Medium","High")))</f>
        <v>Medium</v>
      </c>
    </row>
    <row r="92" customFormat="false" ht="15" hidden="false" customHeight="false" outlineLevel="0" collapsed="false">
      <c r="A92" s="2" t="s">
        <v>191</v>
      </c>
      <c r="B92" s="2" t="s">
        <v>190</v>
      </c>
      <c r="C92" s="2" t="s">
        <v>39</v>
      </c>
      <c r="D92" s="6" t="n">
        <v>45808</v>
      </c>
      <c r="E92" s="2" t="s">
        <v>31</v>
      </c>
      <c r="F92" s="2" t="s">
        <v>32</v>
      </c>
      <c r="G92" s="2" t="s">
        <v>33</v>
      </c>
      <c r="H92" s="2" t="s">
        <v>49</v>
      </c>
      <c r="I92" s="2" t="s">
        <v>86</v>
      </c>
      <c r="J92" s="2" t="s">
        <v>36</v>
      </c>
      <c r="K92" s="2" t="s">
        <v>67</v>
      </c>
      <c r="L92" s="2" t="n">
        <v>0</v>
      </c>
      <c r="M92" s="2" t="str">
        <f aca="false">IF(L92="","",IF(L92=0,"Low",IF(L92=1,"Medium","High")))</f>
        <v>Low</v>
      </c>
    </row>
    <row r="93" customFormat="false" ht="15" hidden="false" customHeight="false" outlineLevel="0" collapsed="false">
      <c r="A93" s="2" t="s">
        <v>192</v>
      </c>
      <c r="B93" s="2" t="s">
        <v>190</v>
      </c>
      <c r="C93" s="2" t="s">
        <v>47</v>
      </c>
      <c r="D93" s="6" t="n">
        <v>46173</v>
      </c>
      <c r="E93" s="2" t="s">
        <v>31</v>
      </c>
      <c r="F93" s="2" t="s">
        <v>32</v>
      </c>
      <c r="G93" s="2" t="s">
        <v>33</v>
      </c>
      <c r="H93" s="2" t="s">
        <v>52</v>
      </c>
      <c r="I93" s="2" t="s">
        <v>86</v>
      </c>
      <c r="J93" s="2" t="s">
        <v>36</v>
      </c>
      <c r="K93" s="2" t="s">
        <v>67</v>
      </c>
      <c r="L93" s="2"/>
      <c r="M93" s="2" t="str">
        <f aca="false">IF(L93="","",IF(L93=0,"Low",IF(L93=1,"Medium","High")))</f>
        <v/>
      </c>
    </row>
    <row r="94" customFormat="false" ht="15" hidden="false" customHeight="false" outlineLevel="0" collapsed="false">
      <c r="A94" s="2" t="s">
        <v>193</v>
      </c>
      <c r="B94" s="2" t="s">
        <v>194</v>
      </c>
      <c r="C94" s="2" t="s">
        <v>30</v>
      </c>
      <c r="D94" s="6" t="n">
        <v>45443</v>
      </c>
      <c r="E94" s="2" t="s">
        <v>64</v>
      </c>
      <c r="F94" s="2" t="s">
        <v>65</v>
      </c>
      <c r="G94" s="2" t="s">
        <v>65</v>
      </c>
      <c r="H94" s="2" t="s">
        <v>43</v>
      </c>
      <c r="I94" s="2" t="s">
        <v>53</v>
      </c>
      <c r="J94" s="2" t="s">
        <v>36</v>
      </c>
      <c r="K94" s="2" t="s">
        <v>67</v>
      </c>
      <c r="L94" s="2" t="n">
        <v>0</v>
      </c>
      <c r="M94" s="2" t="str">
        <f aca="false">IF(L94="","",IF(L94=0,"Low",IF(L94=1,"Medium","High")))</f>
        <v>Low</v>
      </c>
    </row>
    <row r="95" customFormat="false" ht="15" hidden="false" customHeight="false" outlineLevel="0" collapsed="false">
      <c r="A95" s="2" t="s">
        <v>195</v>
      </c>
      <c r="B95" s="2" t="s">
        <v>194</v>
      </c>
      <c r="C95" s="2" t="s">
        <v>39</v>
      </c>
      <c r="D95" s="6" t="n">
        <v>45808</v>
      </c>
      <c r="E95" s="2" t="s">
        <v>64</v>
      </c>
      <c r="F95" s="2" t="s">
        <v>65</v>
      </c>
      <c r="G95" s="2" t="s">
        <v>65</v>
      </c>
      <c r="H95" s="2" t="s">
        <v>49</v>
      </c>
      <c r="I95" s="2" t="s">
        <v>53</v>
      </c>
      <c r="J95" s="2" t="s">
        <v>36</v>
      </c>
      <c r="K95" s="2" t="s">
        <v>67</v>
      </c>
      <c r="L95" s="2" t="n">
        <v>0</v>
      </c>
      <c r="M95" s="2" t="str">
        <f aca="false">IF(L95="","",IF(L95=0,"Low",IF(L95=1,"Medium","High")))</f>
        <v>Low</v>
      </c>
    </row>
    <row r="96" customFormat="false" ht="15" hidden="false" customHeight="false" outlineLevel="0" collapsed="false">
      <c r="A96" s="2" t="s">
        <v>196</v>
      </c>
      <c r="B96" s="2" t="s">
        <v>194</v>
      </c>
      <c r="C96" s="2" t="s">
        <v>47</v>
      </c>
      <c r="D96" s="6" t="n">
        <v>46173</v>
      </c>
      <c r="E96" s="2" t="s">
        <v>64</v>
      </c>
      <c r="F96" s="2" t="s">
        <v>65</v>
      </c>
      <c r="G96" s="2" t="s">
        <v>65</v>
      </c>
      <c r="H96" s="2" t="s">
        <v>52</v>
      </c>
      <c r="I96" s="2" t="s">
        <v>53</v>
      </c>
      <c r="J96" s="2" t="s">
        <v>36</v>
      </c>
      <c r="K96" s="2" t="s">
        <v>67</v>
      </c>
      <c r="L96" s="2"/>
      <c r="M96" s="2" t="str">
        <f aca="false">IF(L96="","",IF(L96=0,"Low",IF(L96=1,"Medium","High")))</f>
        <v/>
      </c>
    </row>
    <row r="97" customFormat="false" ht="15" hidden="false" customHeight="false" outlineLevel="0" collapsed="false">
      <c r="A97" s="2" t="s">
        <v>197</v>
      </c>
      <c r="B97" s="2" t="s">
        <v>198</v>
      </c>
      <c r="C97" s="2" t="s">
        <v>30</v>
      </c>
      <c r="D97" s="6" t="n">
        <v>45443</v>
      </c>
      <c r="E97" s="2" t="s">
        <v>60</v>
      </c>
      <c r="F97" s="2" t="s">
        <v>32</v>
      </c>
      <c r="G97" s="2" t="s">
        <v>48</v>
      </c>
      <c r="H97" s="2" t="s">
        <v>49</v>
      </c>
      <c r="I97" s="2" t="s">
        <v>35</v>
      </c>
      <c r="J97" s="2" t="s">
        <v>44</v>
      </c>
      <c r="K97" s="2" t="s">
        <v>37</v>
      </c>
      <c r="L97" s="2" t="n">
        <v>0</v>
      </c>
      <c r="M97" s="2" t="str">
        <f aca="false">IF(L97="","",IF(L97=0,"Low",IF(L97=1,"Medium","High")))</f>
        <v>Low</v>
      </c>
    </row>
    <row r="98" customFormat="false" ht="15" hidden="false" customHeight="false" outlineLevel="0" collapsed="false">
      <c r="A98" s="2" t="s">
        <v>199</v>
      </c>
      <c r="B98" s="2" t="s">
        <v>198</v>
      </c>
      <c r="C98" s="2" t="s">
        <v>39</v>
      </c>
      <c r="D98" s="6" t="n">
        <v>45808</v>
      </c>
      <c r="E98" s="2" t="s">
        <v>60</v>
      </c>
      <c r="F98" s="2" t="s">
        <v>32</v>
      </c>
      <c r="G98" s="2" t="s">
        <v>33</v>
      </c>
      <c r="H98" s="2" t="s">
        <v>52</v>
      </c>
      <c r="I98" s="2" t="s">
        <v>35</v>
      </c>
      <c r="J98" s="2" t="s">
        <v>44</v>
      </c>
      <c r="K98" s="2" t="s">
        <v>37</v>
      </c>
      <c r="L98" s="2"/>
      <c r="M98" s="2" t="str">
        <f aca="false">IF(L98="","",IF(L98=0,"Low",IF(L98=1,"Medium","High")))</f>
        <v/>
      </c>
    </row>
    <row r="99" customFormat="false" ht="15" hidden="false" customHeight="false" outlineLevel="0" collapsed="false">
      <c r="A99" s="2" t="s">
        <v>200</v>
      </c>
      <c r="B99" s="2" t="s">
        <v>201</v>
      </c>
      <c r="C99" s="2" t="s">
        <v>30</v>
      </c>
      <c r="D99" s="6" t="n">
        <v>45443</v>
      </c>
      <c r="E99" s="2" t="s">
        <v>31</v>
      </c>
      <c r="F99" s="2" t="s">
        <v>56</v>
      </c>
      <c r="G99" s="2" t="s">
        <v>48</v>
      </c>
      <c r="H99" s="2" t="s">
        <v>49</v>
      </c>
      <c r="I99" s="2" t="s">
        <v>66</v>
      </c>
      <c r="J99" s="2" t="s">
        <v>36</v>
      </c>
      <c r="K99" s="2" t="s">
        <v>45</v>
      </c>
      <c r="L99" s="2" t="n">
        <v>1</v>
      </c>
      <c r="M99" s="2" t="str">
        <f aca="false">IF(L99="","",IF(L99=0,"Low",IF(L99=1,"Medium","High")))</f>
        <v>Medium</v>
      </c>
    </row>
    <row r="100" customFormat="false" ht="15" hidden="false" customHeight="false" outlineLevel="0" collapsed="false">
      <c r="A100" s="2" t="s">
        <v>202</v>
      </c>
      <c r="B100" s="2" t="s">
        <v>201</v>
      </c>
      <c r="C100" s="2" t="s">
        <v>39</v>
      </c>
      <c r="D100" s="6" t="n">
        <v>45808</v>
      </c>
      <c r="E100" s="2" t="s">
        <v>60</v>
      </c>
      <c r="F100" s="2" t="s">
        <v>41</v>
      </c>
      <c r="G100" s="2" t="s">
        <v>33</v>
      </c>
      <c r="H100" s="2" t="s">
        <v>52</v>
      </c>
      <c r="I100" s="2" t="s">
        <v>66</v>
      </c>
      <c r="J100" s="2" t="s">
        <v>44</v>
      </c>
      <c r="K100" s="2" t="s">
        <v>45</v>
      </c>
      <c r="L100" s="2"/>
      <c r="M100" s="2" t="str">
        <f aca="false">IF(L100="","",IF(L100=0,"Low",IF(L100=1,"Medium","High")))</f>
        <v/>
      </c>
    </row>
    <row r="101" customFormat="false" ht="15" hidden="false" customHeight="false" outlineLevel="0" collapsed="false">
      <c r="A101" s="2" t="s">
        <v>203</v>
      </c>
      <c r="B101" s="2" t="s">
        <v>204</v>
      </c>
      <c r="C101" s="2" t="s">
        <v>30</v>
      </c>
      <c r="D101" s="6" t="n">
        <v>45443</v>
      </c>
      <c r="E101" s="2" t="s">
        <v>64</v>
      </c>
      <c r="F101" s="2" t="s">
        <v>65</v>
      </c>
      <c r="G101" s="2" t="s">
        <v>65</v>
      </c>
      <c r="H101" s="2" t="s">
        <v>49</v>
      </c>
      <c r="I101" s="2" t="s">
        <v>66</v>
      </c>
      <c r="J101" s="2" t="s">
        <v>36</v>
      </c>
      <c r="K101" s="2" t="s">
        <v>67</v>
      </c>
      <c r="L101" s="2" t="n">
        <v>0</v>
      </c>
      <c r="M101" s="2" t="str">
        <f aca="false">IF(L101="","",IF(L101=0,"Low",IF(L101=1,"Medium","High")))</f>
        <v>Low</v>
      </c>
    </row>
    <row r="102" customFormat="false" ht="15" hidden="false" customHeight="false" outlineLevel="0" collapsed="false">
      <c r="A102" s="2" t="s">
        <v>205</v>
      </c>
      <c r="B102" s="2" t="s">
        <v>204</v>
      </c>
      <c r="C102" s="2" t="s">
        <v>39</v>
      </c>
      <c r="D102" s="6" t="n">
        <v>45808</v>
      </c>
      <c r="E102" s="2" t="s">
        <v>64</v>
      </c>
      <c r="F102" s="2" t="s">
        <v>65</v>
      </c>
      <c r="G102" s="2" t="s">
        <v>65</v>
      </c>
      <c r="H102" s="2" t="s">
        <v>52</v>
      </c>
      <c r="I102" s="2" t="s">
        <v>66</v>
      </c>
      <c r="J102" s="2" t="s">
        <v>36</v>
      </c>
      <c r="K102" s="2" t="s">
        <v>67</v>
      </c>
      <c r="L102" s="2"/>
      <c r="M102" s="2" t="str">
        <f aca="false">IF(L102="","",IF(L102=0,"Low",IF(L102=1,"Medium","High")))</f>
        <v/>
      </c>
    </row>
    <row r="103" customFormat="false" ht="15" hidden="false" customHeight="false" outlineLevel="0" collapsed="false">
      <c r="A103" s="2" t="s">
        <v>206</v>
      </c>
      <c r="B103" s="2" t="s">
        <v>207</v>
      </c>
      <c r="C103" s="2" t="s">
        <v>30</v>
      </c>
      <c r="D103" s="6" t="n">
        <v>45443</v>
      </c>
      <c r="E103" s="2" t="s">
        <v>64</v>
      </c>
      <c r="F103" s="2" t="s">
        <v>65</v>
      </c>
      <c r="G103" s="2" t="s">
        <v>65</v>
      </c>
      <c r="H103" s="2" t="s">
        <v>34</v>
      </c>
      <c r="I103" s="2" t="s">
        <v>66</v>
      </c>
      <c r="J103" s="2" t="s">
        <v>36</v>
      </c>
      <c r="K103" s="2" t="s">
        <v>67</v>
      </c>
      <c r="L103" s="2" t="n">
        <v>0</v>
      </c>
      <c r="M103" s="2" t="str">
        <f aca="false">IF(L103="","",IF(L103=0,"Low",IF(L103=1,"Medium","High")))</f>
        <v>Low</v>
      </c>
    </row>
    <row r="104" customFormat="false" ht="15" hidden="false" customHeight="false" outlineLevel="0" collapsed="false">
      <c r="A104" s="2" t="s">
        <v>208</v>
      </c>
      <c r="B104" s="2" t="s">
        <v>207</v>
      </c>
      <c r="C104" s="2" t="s">
        <v>39</v>
      </c>
      <c r="D104" s="6" t="n">
        <v>45808</v>
      </c>
      <c r="E104" s="2" t="s">
        <v>64</v>
      </c>
      <c r="F104" s="2" t="s">
        <v>65</v>
      </c>
      <c r="G104" s="2" t="s">
        <v>65</v>
      </c>
      <c r="H104" s="2" t="s">
        <v>43</v>
      </c>
      <c r="I104" s="2" t="s">
        <v>66</v>
      </c>
      <c r="J104" s="2" t="s">
        <v>36</v>
      </c>
      <c r="K104" s="2" t="s">
        <v>67</v>
      </c>
      <c r="L104" s="2" t="n">
        <v>0</v>
      </c>
      <c r="M104" s="2" t="str">
        <f aca="false">IF(L104="","",IF(L104=0,"Low",IF(L104=1,"Medium","High")))</f>
        <v>Low</v>
      </c>
    </row>
    <row r="105" customFormat="false" ht="15" hidden="false" customHeight="false" outlineLevel="0" collapsed="false">
      <c r="A105" s="2" t="s">
        <v>209</v>
      </c>
      <c r="B105" s="2" t="s">
        <v>207</v>
      </c>
      <c r="C105" s="2" t="s">
        <v>47</v>
      </c>
      <c r="D105" s="6" t="n">
        <v>46173</v>
      </c>
      <c r="E105" s="2" t="s">
        <v>64</v>
      </c>
      <c r="F105" s="2" t="s">
        <v>65</v>
      </c>
      <c r="G105" s="2" t="s">
        <v>65</v>
      </c>
      <c r="H105" s="2" t="s">
        <v>49</v>
      </c>
      <c r="I105" s="2" t="s">
        <v>66</v>
      </c>
      <c r="J105" s="2" t="s">
        <v>36</v>
      </c>
      <c r="K105" s="2" t="s">
        <v>67</v>
      </c>
      <c r="L105" s="2"/>
      <c r="M105" s="2" t="str">
        <f aca="false">IF(L105="","",IF(L105=0,"Low",IF(L105=1,"Medium","High")))</f>
        <v/>
      </c>
    </row>
    <row r="106" customFormat="false" ht="15" hidden="false" customHeight="false" outlineLevel="0" collapsed="false">
      <c r="A106" s="2" t="s">
        <v>210</v>
      </c>
      <c r="B106" s="2" t="s">
        <v>211</v>
      </c>
      <c r="C106" s="2" t="s">
        <v>30</v>
      </c>
      <c r="D106" s="6" t="n">
        <v>45443</v>
      </c>
      <c r="E106" s="2" t="s">
        <v>64</v>
      </c>
      <c r="F106" s="2" t="s">
        <v>65</v>
      </c>
      <c r="G106" s="2" t="s">
        <v>65</v>
      </c>
      <c r="H106" s="2" t="s">
        <v>49</v>
      </c>
      <c r="I106" s="2" t="s">
        <v>35</v>
      </c>
      <c r="J106" s="2" t="s">
        <v>36</v>
      </c>
      <c r="K106" s="2" t="s">
        <v>67</v>
      </c>
      <c r="L106" s="2" t="n">
        <v>2</v>
      </c>
      <c r="M106" s="2" t="str">
        <f aca="false">IF(L106="","",IF(L106=0,"Low",IF(L106=1,"Medium","High")))</f>
        <v>High</v>
      </c>
    </row>
    <row r="107" customFormat="false" ht="15" hidden="false" customHeight="false" outlineLevel="0" collapsed="false">
      <c r="A107" s="2" t="s">
        <v>212</v>
      </c>
      <c r="B107" s="2" t="s">
        <v>211</v>
      </c>
      <c r="C107" s="2" t="s">
        <v>39</v>
      </c>
      <c r="D107" s="6" t="n">
        <v>45808</v>
      </c>
      <c r="E107" s="2" t="s">
        <v>60</v>
      </c>
      <c r="F107" s="2" t="s">
        <v>32</v>
      </c>
      <c r="G107" s="2" t="s">
        <v>110</v>
      </c>
      <c r="H107" s="2" t="s">
        <v>52</v>
      </c>
      <c r="I107" s="2" t="s">
        <v>35</v>
      </c>
      <c r="J107" s="2" t="s">
        <v>44</v>
      </c>
      <c r="K107" s="2" t="s">
        <v>67</v>
      </c>
      <c r="L107" s="2"/>
      <c r="M107" s="2" t="str">
        <f aca="false">IF(L107="","",IF(L107=0,"Low",IF(L107=1,"Medium","High")))</f>
        <v/>
      </c>
    </row>
    <row r="108" customFormat="false" ht="15" hidden="false" customHeight="false" outlineLevel="0" collapsed="false">
      <c r="A108" s="2" t="s">
        <v>213</v>
      </c>
      <c r="B108" s="2" t="s">
        <v>214</v>
      </c>
      <c r="C108" s="2" t="s">
        <v>30</v>
      </c>
      <c r="D108" s="6" t="n">
        <v>45443</v>
      </c>
      <c r="E108" s="2" t="s">
        <v>60</v>
      </c>
      <c r="F108" s="2" t="s">
        <v>41</v>
      </c>
      <c r="G108" s="2" t="s">
        <v>110</v>
      </c>
      <c r="H108" s="2" t="s">
        <v>49</v>
      </c>
      <c r="I108" s="2" t="s">
        <v>53</v>
      </c>
      <c r="J108" s="2" t="s">
        <v>44</v>
      </c>
      <c r="K108" s="2" t="s">
        <v>45</v>
      </c>
      <c r="L108" s="2" t="n">
        <v>0</v>
      </c>
      <c r="M108" s="2" t="str">
        <f aca="false">IF(L108="","",IF(L108=0,"Low",IF(L108=1,"Medium","High")))</f>
        <v>Low</v>
      </c>
    </row>
    <row r="109" customFormat="false" ht="15" hidden="false" customHeight="false" outlineLevel="0" collapsed="false">
      <c r="A109" s="2" t="s">
        <v>215</v>
      </c>
      <c r="B109" s="2" t="s">
        <v>214</v>
      </c>
      <c r="C109" s="2" t="s">
        <v>39</v>
      </c>
      <c r="D109" s="6" t="n">
        <v>45808</v>
      </c>
      <c r="E109" s="2" t="s">
        <v>60</v>
      </c>
      <c r="F109" s="2" t="s">
        <v>41</v>
      </c>
      <c r="G109" s="2" t="s">
        <v>33</v>
      </c>
      <c r="H109" s="2" t="s">
        <v>52</v>
      </c>
      <c r="I109" s="2" t="s">
        <v>53</v>
      </c>
      <c r="J109" s="2" t="s">
        <v>44</v>
      </c>
      <c r="K109" s="2" t="s">
        <v>45</v>
      </c>
      <c r="L109" s="2"/>
      <c r="M109" s="2" t="str">
        <f aca="false">IF(L109="","",IF(L109=0,"Low",IF(L109=1,"Medium","High")))</f>
        <v/>
      </c>
    </row>
    <row r="110" customFormat="false" ht="15" hidden="false" customHeight="false" outlineLevel="0" collapsed="false">
      <c r="A110" s="2" t="s">
        <v>216</v>
      </c>
      <c r="B110" s="2" t="s">
        <v>217</v>
      </c>
      <c r="C110" s="2" t="s">
        <v>30</v>
      </c>
      <c r="D110" s="6" t="n">
        <v>45443</v>
      </c>
      <c r="E110" s="2" t="s">
        <v>60</v>
      </c>
      <c r="F110" s="2" t="s">
        <v>41</v>
      </c>
      <c r="G110" s="2" t="s">
        <v>110</v>
      </c>
      <c r="H110" s="2" t="s">
        <v>34</v>
      </c>
      <c r="I110" s="2" t="s">
        <v>66</v>
      </c>
      <c r="J110" s="2" t="s">
        <v>44</v>
      </c>
      <c r="K110" s="2" t="s">
        <v>57</v>
      </c>
      <c r="L110" s="2" t="n">
        <v>1</v>
      </c>
      <c r="M110" s="2" t="str">
        <f aca="false">IF(L110="","",IF(L110=0,"Low",IF(L110=1,"Medium","High")))</f>
        <v>Medium</v>
      </c>
    </row>
    <row r="111" customFormat="false" ht="15" hidden="false" customHeight="false" outlineLevel="0" collapsed="false">
      <c r="A111" s="2" t="s">
        <v>218</v>
      </c>
      <c r="B111" s="2" t="s">
        <v>217</v>
      </c>
      <c r="C111" s="2" t="s">
        <v>39</v>
      </c>
      <c r="D111" s="6" t="n">
        <v>45808</v>
      </c>
      <c r="E111" s="2" t="s">
        <v>60</v>
      </c>
      <c r="F111" s="2" t="s">
        <v>41</v>
      </c>
      <c r="G111" s="2" t="s">
        <v>33</v>
      </c>
      <c r="H111" s="2" t="s">
        <v>43</v>
      </c>
      <c r="I111" s="2" t="s">
        <v>66</v>
      </c>
      <c r="J111" s="2" t="s">
        <v>44</v>
      </c>
      <c r="K111" s="2" t="s">
        <v>45</v>
      </c>
      <c r="L111" s="2" t="n">
        <v>1</v>
      </c>
      <c r="M111" s="2" t="str">
        <f aca="false">IF(L111="","",IF(L111=0,"Low",IF(L111=1,"Medium","High")))</f>
        <v>Medium</v>
      </c>
    </row>
    <row r="112" customFormat="false" ht="15" hidden="false" customHeight="false" outlineLevel="0" collapsed="false">
      <c r="A112" s="2" t="s">
        <v>219</v>
      </c>
      <c r="B112" s="2" t="s">
        <v>217</v>
      </c>
      <c r="C112" s="2" t="s">
        <v>47</v>
      </c>
      <c r="D112" s="6" t="n">
        <v>46173</v>
      </c>
      <c r="E112" s="2" t="s">
        <v>40</v>
      </c>
      <c r="F112" s="2" t="s">
        <v>41</v>
      </c>
      <c r="G112" s="2" t="s">
        <v>42</v>
      </c>
      <c r="H112" s="2" t="s">
        <v>49</v>
      </c>
      <c r="I112" s="2" t="s">
        <v>66</v>
      </c>
      <c r="J112" s="2" t="s">
        <v>44</v>
      </c>
      <c r="K112" s="2" t="s">
        <v>37</v>
      </c>
      <c r="L112" s="2"/>
      <c r="M112" s="2" t="str">
        <f aca="false">IF(L112="","",IF(L112=0,"Low",IF(L112=1,"Medium","High")))</f>
        <v/>
      </c>
    </row>
    <row r="113" customFormat="false" ht="15" hidden="false" customHeight="false" outlineLevel="0" collapsed="false">
      <c r="A113" s="2" t="s">
        <v>220</v>
      </c>
      <c r="B113" s="2" t="s">
        <v>221</v>
      </c>
      <c r="C113" s="2" t="s">
        <v>30</v>
      </c>
      <c r="D113" s="6" t="n">
        <v>45443</v>
      </c>
      <c r="E113" s="2" t="s">
        <v>64</v>
      </c>
      <c r="F113" s="2" t="s">
        <v>65</v>
      </c>
      <c r="G113" s="2" t="s">
        <v>65</v>
      </c>
      <c r="H113" s="2" t="s">
        <v>49</v>
      </c>
      <c r="I113" s="2" t="s">
        <v>35</v>
      </c>
      <c r="J113" s="2" t="s">
        <v>36</v>
      </c>
      <c r="K113" s="2" t="s">
        <v>67</v>
      </c>
      <c r="L113" s="2" t="n">
        <v>0</v>
      </c>
      <c r="M113" s="2" t="str">
        <f aca="false">IF(L113="","",IF(L113=0,"Low",IF(L113=1,"Medium","High")))</f>
        <v>Low</v>
      </c>
    </row>
    <row r="114" customFormat="false" ht="15" hidden="false" customHeight="false" outlineLevel="0" collapsed="false">
      <c r="A114" s="2" t="s">
        <v>222</v>
      </c>
      <c r="B114" s="2" t="s">
        <v>221</v>
      </c>
      <c r="C114" s="2" t="s">
        <v>39</v>
      </c>
      <c r="D114" s="6" t="n">
        <v>45808</v>
      </c>
      <c r="E114" s="2" t="s">
        <v>64</v>
      </c>
      <c r="F114" s="2" t="s">
        <v>65</v>
      </c>
      <c r="G114" s="2" t="s">
        <v>65</v>
      </c>
      <c r="H114" s="2" t="s">
        <v>52</v>
      </c>
      <c r="I114" s="2" t="s">
        <v>35</v>
      </c>
      <c r="J114" s="2" t="s">
        <v>36</v>
      </c>
      <c r="K114" s="2" t="s">
        <v>67</v>
      </c>
      <c r="L114" s="2"/>
      <c r="M114" s="2" t="str">
        <f aca="false">IF(L114="","",IF(L114=0,"Low",IF(L114=1,"Medium","High")))</f>
        <v/>
      </c>
    </row>
    <row r="115" customFormat="false" ht="15" hidden="false" customHeight="false" outlineLevel="0" collapsed="false">
      <c r="A115" s="2" t="s">
        <v>223</v>
      </c>
      <c r="B115" s="2" t="s">
        <v>224</v>
      </c>
      <c r="C115" s="2" t="s">
        <v>30</v>
      </c>
      <c r="D115" s="6" t="n">
        <v>45443</v>
      </c>
      <c r="E115" s="2" t="s">
        <v>60</v>
      </c>
      <c r="F115" s="2" t="s">
        <v>56</v>
      </c>
      <c r="G115" s="2" t="s">
        <v>42</v>
      </c>
      <c r="H115" s="2" t="s">
        <v>49</v>
      </c>
      <c r="I115" s="2" t="s">
        <v>35</v>
      </c>
      <c r="J115" s="2" t="s">
        <v>44</v>
      </c>
      <c r="K115" s="2" t="s">
        <v>37</v>
      </c>
      <c r="L115" s="2" t="n">
        <v>1</v>
      </c>
      <c r="M115" s="2" t="str">
        <f aca="false">IF(L115="","",IF(L115=0,"Low",IF(L115=1,"Medium","High")))</f>
        <v>Medium</v>
      </c>
    </row>
    <row r="116" customFormat="false" ht="15" hidden="false" customHeight="false" outlineLevel="0" collapsed="false">
      <c r="A116" s="2" t="s">
        <v>225</v>
      </c>
      <c r="B116" s="2" t="s">
        <v>224</v>
      </c>
      <c r="C116" s="2" t="s">
        <v>39</v>
      </c>
      <c r="D116" s="6" t="n">
        <v>45808</v>
      </c>
      <c r="E116" s="2" t="s">
        <v>60</v>
      </c>
      <c r="F116" s="2" t="s">
        <v>41</v>
      </c>
      <c r="G116" s="2" t="s">
        <v>42</v>
      </c>
      <c r="H116" s="2" t="s">
        <v>52</v>
      </c>
      <c r="I116" s="2" t="s">
        <v>35</v>
      </c>
      <c r="J116" s="2" t="s">
        <v>44</v>
      </c>
      <c r="K116" s="2" t="s">
        <v>37</v>
      </c>
      <c r="L116" s="2"/>
      <c r="M116" s="2" t="str">
        <f aca="false">IF(L116="","",IF(L116=0,"Low",IF(L116=1,"Medium","High")))</f>
        <v/>
      </c>
    </row>
    <row r="117" customFormat="false" ht="15" hidden="false" customHeight="false" outlineLevel="0" collapsed="false">
      <c r="A117" s="2" t="s">
        <v>226</v>
      </c>
      <c r="B117" s="2" t="s">
        <v>227</v>
      </c>
      <c r="C117" s="2" t="s">
        <v>30</v>
      </c>
      <c r="D117" s="6" t="n">
        <v>45443</v>
      </c>
      <c r="E117" s="2" t="s">
        <v>60</v>
      </c>
      <c r="F117" s="2" t="s">
        <v>32</v>
      </c>
      <c r="G117" s="2" t="s">
        <v>33</v>
      </c>
      <c r="H117" s="2" t="s">
        <v>52</v>
      </c>
      <c r="I117" s="2" t="s">
        <v>66</v>
      </c>
      <c r="J117" s="2" t="s">
        <v>228</v>
      </c>
      <c r="K117" s="2" t="s">
        <v>37</v>
      </c>
      <c r="L117" s="2"/>
      <c r="M117" s="2" t="str">
        <f aca="false">IF(L117="","",IF(L117=0,"Low",IF(L117=1,"Medium","High")))</f>
        <v/>
      </c>
    </row>
    <row r="118" customFormat="false" ht="15" hidden="false" customHeight="false" outlineLevel="0" collapsed="false">
      <c r="A118" s="2" t="s">
        <v>229</v>
      </c>
      <c r="B118" s="2" t="s">
        <v>230</v>
      </c>
      <c r="C118" s="2" t="s">
        <v>30</v>
      </c>
      <c r="D118" s="6" t="n">
        <v>45443</v>
      </c>
      <c r="E118" s="2" t="s">
        <v>60</v>
      </c>
      <c r="F118" s="2" t="s">
        <v>56</v>
      </c>
      <c r="G118" s="2" t="s">
        <v>48</v>
      </c>
      <c r="H118" s="2" t="s">
        <v>43</v>
      </c>
      <c r="I118" s="2" t="s">
        <v>35</v>
      </c>
      <c r="J118" s="2" t="s">
        <v>44</v>
      </c>
      <c r="K118" s="2" t="s">
        <v>57</v>
      </c>
      <c r="L118" s="2" t="n">
        <v>1</v>
      </c>
      <c r="M118" s="2" t="str">
        <f aca="false">IF(L118="","",IF(L118=0,"Low",IF(L118=1,"Medium","High")))</f>
        <v>Medium</v>
      </c>
    </row>
    <row r="119" customFormat="false" ht="15" hidden="false" customHeight="false" outlineLevel="0" collapsed="false">
      <c r="A119" s="2" t="s">
        <v>231</v>
      </c>
      <c r="B119" s="2" t="s">
        <v>230</v>
      </c>
      <c r="C119" s="2" t="s">
        <v>39</v>
      </c>
      <c r="D119" s="6" t="n">
        <v>45808</v>
      </c>
      <c r="E119" s="2" t="s">
        <v>40</v>
      </c>
      <c r="F119" s="2" t="s">
        <v>56</v>
      </c>
      <c r="G119" s="2" t="s">
        <v>33</v>
      </c>
      <c r="H119" s="2" t="s">
        <v>49</v>
      </c>
      <c r="I119" s="2" t="s">
        <v>35</v>
      </c>
      <c r="J119" s="2" t="s">
        <v>44</v>
      </c>
      <c r="K119" s="2" t="s">
        <v>45</v>
      </c>
      <c r="L119" s="2" t="n">
        <v>0</v>
      </c>
      <c r="M119" s="2" t="str">
        <f aca="false">IF(L119="","",IF(L119=0,"Low",IF(L119=1,"Medium","High")))</f>
        <v>Low</v>
      </c>
    </row>
    <row r="120" customFormat="false" ht="15" hidden="false" customHeight="false" outlineLevel="0" collapsed="false">
      <c r="A120" s="2" t="s">
        <v>232</v>
      </c>
      <c r="B120" s="2" t="s">
        <v>230</v>
      </c>
      <c r="C120" s="2" t="s">
        <v>47</v>
      </c>
      <c r="D120" s="6" t="n">
        <v>46173</v>
      </c>
      <c r="E120" s="2" t="s">
        <v>40</v>
      </c>
      <c r="F120" s="2" t="s">
        <v>56</v>
      </c>
      <c r="G120" s="2" t="s">
        <v>33</v>
      </c>
      <c r="H120" s="2" t="s">
        <v>52</v>
      </c>
      <c r="I120" s="2" t="s">
        <v>35</v>
      </c>
      <c r="J120" s="2" t="s">
        <v>44</v>
      </c>
      <c r="K120" s="2" t="s">
        <v>45</v>
      </c>
      <c r="L120" s="2"/>
      <c r="M120" s="2" t="str">
        <f aca="false">IF(L120="","",IF(L120=0,"Low",IF(L120=1,"Medium","High")))</f>
        <v/>
      </c>
    </row>
    <row r="121" customFormat="false" ht="15" hidden="false" customHeight="false" outlineLevel="0" collapsed="false">
      <c r="A121" s="2" t="s">
        <v>233</v>
      </c>
      <c r="B121" s="2" t="s">
        <v>234</v>
      </c>
      <c r="C121" s="2" t="s">
        <v>30</v>
      </c>
      <c r="D121" s="6" t="n">
        <v>45443</v>
      </c>
      <c r="E121" s="2" t="s">
        <v>64</v>
      </c>
      <c r="F121" s="2" t="s">
        <v>65</v>
      </c>
      <c r="G121" s="2" t="s">
        <v>65</v>
      </c>
      <c r="H121" s="2" t="s">
        <v>34</v>
      </c>
      <c r="I121" s="2" t="s">
        <v>66</v>
      </c>
      <c r="J121" s="2" t="s">
        <v>36</v>
      </c>
      <c r="K121" s="2" t="s">
        <v>67</v>
      </c>
      <c r="L121" s="2"/>
      <c r="M121" s="2" t="str">
        <f aca="false">IF(L121="","",IF(L121=0,"Low",IF(L121=1,"Medium","High")))</f>
        <v/>
      </c>
    </row>
    <row r="122" customFormat="false" ht="15" hidden="false" customHeight="false" outlineLevel="0" collapsed="false">
      <c r="A122" s="2" t="s">
        <v>235</v>
      </c>
      <c r="B122" s="2" t="s">
        <v>236</v>
      </c>
      <c r="C122" s="2" t="s">
        <v>30</v>
      </c>
      <c r="D122" s="6" t="n">
        <v>45443</v>
      </c>
      <c r="E122" s="2" t="s">
        <v>64</v>
      </c>
      <c r="F122" s="2" t="s">
        <v>65</v>
      </c>
      <c r="G122" s="2" t="s">
        <v>65</v>
      </c>
      <c r="H122" s="2" t="s">
        <v>43</v>
      </c>
      <c r="I122" s="2" t="s">
        <v>86</v>
      </c>
      <c r="J122" s="2" t="s">
        <v>36</v>
      </c>
      <c r="K122" s="2" t="s">
        <v>67</v>
      </c>
      <c r="L122" s="2" t="n">
        <v>1</v>
      </c>
      <c r="M122" s="2" t="str">
        <f aca="false">IF(L122="","",IF(L122=0,"Low",IF(L122=1,"Medium","High")))</f>
        <v>Medium</v>
      </c>
    </row>
    <row r="123" customFormat="false" ht="15" hidden="false" customHeight="false" outlineLevel="0" collapsed="false">
      <c r="A123" s="2" t="s">
        <v>237</v>
      </c>
      <c r="B123" s="2" t="s">
        <v>236</v>
      </c>
      <c r="C123" s="2" t="s">
        <v>39</v>
      </c>
      <c r="D123" s="6" t="n">
        <v>45808</v>
      </c>
      <c r="E123" s="2" t="s">
        <v>31</v>
      </c>
      <c r="F123" s="2" t="s">
        <v>56</v>
      </c>
      <c r="G123" s="2" t="s">
        <v>33</v>
      </c>
      <c r="H123" s="2" t="s">
        <v>49</v>
      </c>
      <c r="I123" s="2" t="s">
        <v>86</v>
      </c>
      <c r="J123" s="2" t="s">
        <v>36</v>
      </c>
      <c r="K123" s="2" t="s">
        <v>45</v>
      </c>
      <c r="L123" s="2" t="n">
        <v>1</v>
      </c>
      <c r="M123" s="2" t="str">
        <f aca="false">IF(L123="","",IF(L123=0,"Low",IF(L123=1,"Medium","High")))</f>
        <v>Medium</v>
      </c>
    </row>
    <row r="124" customFormat="false" ht="15" hidden="false" customHeight="false" outlineLevel="0" collapsed="false">
      <c r="A124" s="2" t="s">
        <v>238</v>
      </c>
      <c r="B124" s="2" t="s">
        <v>236</v>
      </c>
      <c r="C124" s="2" t="s">
        <v>47</v>
      </c>
      <c r="D124" s="6" t="n">
        <v>46173</v>
      </c>
      <c r="E124" s="2" t="s">
        <v>60</v>
      </c>
      <c r="F124" s="2" t="s">
        <v>41</v>
      </c>
      <c r="G124" s="2" t="s">
        <v>33</v>
      </c>
      <c r="H124" s="2" t="s">
        <v>52</v>
      </c>
      <c r="I124" s="2" t="s">
        <v>86</v>
      </c>
      <c r="J124" s="2" t="s">
        <v>44</v>
      </c>
      <c r="K124" s="2" t="s">
        <v>45</v>
      </c>
      <c r="L124" s="2"/>
      <c r="M124" s="2" t="str">
        <f aca="false">IF(L124="","",IF(L124=0,"Low",IF(L124=1,"Medium","High")))</f>
        <v/>
      </c>
    </row>
    <row r="125" customFormat="false" ht="15" hidden="false" customHeight="false" outlineLevel="0" collapsed="false">
      <c r="A125" s="2" t="s">
        <v>239</v>
      </c>
      <c r="B125" s="2" t="s">
        <v>240</v>
      </c>
      <c r="C125" s="2" t="s">
        <v>30</v>
      </c>
      <c r="D125" s="6" t="n">
        <v>45443</v>
      </c>
      <c r="E125" s="2" t="s">
        <v>64</v>
      </c>
      <c r="F125" s="2" t="s">
        <v>65</v>
      </c>
      <c r="G125" s="2" t="s">
        <v>65</v>
      </c>
      <c r="H125" s="2" t="s">
        <v>43</v>
      </c>
      <c r="I125" s="2" t="s">
        <v>53</v>
      </c>
      <c r="J125" s="2" t="s">
        <v>36</v>
      </c>
      <c r="K125" s="2" t="s">
        <v>67</v>
      </c>
      <c r="L125" s="2" t="n">
        <v>0</v>
      </c>
      <c r="M125" s="2" t="str">
        <f aca="false">IF(L125="","",IF(L125=0,"Low",IF(L125=1,"Medium","High")))</f>
        <v>Low</v>
      </c>
    </row>
    <row r="126" customFormat="false" ht="15" hidden="false" customHeight="false" outlineLevel="0" collapsed="false">
      <c r="A126" s="2" t="s">
        <v>241</v>
      </c>
      <c r="B126" s="2" t="s">
        <v>240</v>
      </c>
      <c r="C126" s="2" t="s">
        <v>39</v>
      </c>
      <c r="D126" s="6" t="n">
        <v>45808</v>
      </c>
      <c r="E126" s="2" t="s">
        <v>64</v>
      </c>
      <c r="F126" s="2" t="s">
        <v>65</v>
      </c>
      <c r="G126" s="2" t="s">
        <v>65</v>
      </c>
      <c r="H126" s="2" t="s">
        <v>49</v>
      </c>
      <c r="I126" s="2" t="s">
        <v>53</v>
      </c>
      <c r="J126" s="2" t="s">
        <v>36</v>
      </c>
      <c r="K126" s="2" t="s">
        <v>67</v>
      </c>
      <c r="L126" s="2" t="n">
        <v>0</v>
      </c>
      <c r="M126" s="2" t="str">
        <f aca="false">IF(L126="","",IF(L126=0,"Low",IF(L126=1,"Medium","High")))</f>
        <v>Low</v>
      </c>
    </row>
    <row r="127" customFormat="false" ht="15" hidden="false" customHeight="false" outlineLevel="0" collapsed="false">
      <c r="A127" s="2" t="s">
        <v>242</v>
      </c>
      <c r="B127" s="2" t="s">
        <v>240</v>
      </c>
      <c r="C127" s="2" t="s">
        <v>47</v>
      </c>
      <c r="D127" s="6" t="n">
        <v>46173</v>
      </c>
      <c r="E127" s="2" t="s">
        <v>64</v>
      </c>
      <c r="F127" s="2" t="s">
        <v>65</v>
      </c>
      <c r="G127" s="2" t="s">
        <v>65</v>
      </c>
      <c r="H127" s="2" t="s">
        <v>52</v>
      </c>
      <c r="I127" s="2" t="s">
        <v>53</v>
      </c>
      <c r="J127" s="2" t="s">
        <v>36</v>
      </c>
      <c r="K127" s="2" t="s">
        <v>67</v>
      </c>
      <c r="L127" s="2"/>
      <c r="M127" s="2" t="str">
        <f aca="false">IF(L127="","",IF(L127=0,"Low",IF(L127=1,"Medium","High")))</f>
        <v/>
      </c>
    </row>
    <row r="128" customFormat="false" ht="15" hidden="false" customHeight="false" outlineLevel="0" collapsed="false">
      <c r="A128" s="2" t="s">
        <v>243</v>
      </c>
      <c r="B128" s="2" t="s">
        <v>244</v>
      </c>
      <c r="C128" s="2" t="s">
        <v>30</v>
      </c>
      <c r="D128" s="6" t="n">
        <v>45443</v>
      </c>
      <c r="E128" s="2" t="s">
        <v>64</v>
      </c>
      <c r="F128" s="2" t="s">
        <v>65</v>
      </c>
      <c r="G128" s="2" t="s">
        <v>65</v>
      </c>
      <c r="H128" s="2" t="s">
        <v>43</v>
      </c>
      <c r="I128" s="2" t="s">
        <v>53</v>
      </c>
      <c r="J128" s="2" t="s">
        <v>36</v>
      </c>
      <c r="K128" s="2" t="s">
        <v>67</v>
      </c>
      <c r="L128" s="2" t="n">
        <v>0</v>
      </c>
      <c r="M128" s="2" t="str">
        <f aca="false">IF(L128="","",IF(L128=0,"Low",IF(L128=1,"Medium","High")))</f>
        <v>Low</v>
      </c>
    </row>
    <row r="129" customFormat="false" ht="15" hidden="false" customHeight="false" outlineLevel="0" collapsed="false">
      <c r="A129" s="2" t="s">
        <v>245</v>
      </c>
      <c r="B129" s="2" t="s">
        <v>244</v>
      </c>
      <c r="C129" s="2" t="s">
        <v>39</v>
      </c>
      <c r="D129" s="6" t="n">
        <v>45808</v>
      </c>
      <c r="E129" s="2" t="s">
        <v>64</v>
      </c>
      <c r="F129" s="2" t="s">
        <v>65</v>
      </c>
      <c r="G129" s="2" t="s">
        <v>65</v>
      </c>
      <c r="H129" s="2" t="s">
        <v>49</v>
      </c>
      <c r="I129" s="2" t="s">
        <v>53</v>
      </c>
      <c r="J129" s="2" t="s">
        <v>36</v>
      </c>
      <c r="K129" s="2" t="s">
        <v>67</v>
      </c>
      <c r="L129" s="2" t="n">
        <v>1</v>
      </c>
      <c r="M129" s="2" t="str">
        <f aca="false">IF(L129="","",IF(L129=0,"Low",IF(L129=1,"Medium","High")))</f>
        <v>Medium</v>
      </c>
    </row>
    <row r="130" customFormat="false" ht="15" hidden="false" customHeight="false" outlineLevel="0" collapsed="false">
      <c r="A130" s="2" t="s">
        <v>246</v>
      </c>
      <c r="B130" s="2" t="s">
        <v>244</v>
      </c>
      <c r="C130" s="2" t="s">
        <v>47</v>
      </c>
      <c r="D130" s="6" t="n">
        <v>46173</v>
      </c>
      <c r="E130" s="2" t="s">
        <v>31</v>
      </c>
      <c r="F130" s="2" t="s">
        <v>32</v>
      </c>
      <c r="G130" s="2" t="s">
        <v>48</v>
      </c>
      <c r="H130" s="2" t="s">
        <v>52</v>
      </c>
      <c r="I130" s="2" t="s">
        <v>53</v>
      </c>
      <c r="J130" s="2" t="s">
        <v>36</v>
      </c>
      <c r="K130" s="2" t="s">
        <v>57</v>
      </c>
      <c r="L130" s="2"/>
      <c r="M130" s="2" t="str">
        <f aca="false">IF(L130="","",IF(L130=0,"Low",IF(L130=1,"Medium","High")))</f>
        <v/>
      </c>
    </row>
    <row r="131" customFormat="false" ht="15" hidden="false" customHeight="false" outlineLevel="0" collapsed="false">
      <c r="A131" s="2" t="s">
        <v>247</v>
      </c>
      <c r="B131" s="2" t="s">
        <v>248</v>
      </c>
      <c r="C131" s="2" t="s">
        <v>30</v>
      </c>
      <c r="D131" s="6" t="n">
        <v>45443</v>
      </c>
      <c r="E131" s="2" t="s">
        <v>40</v>
      </c>
      <c r="F131" s="2" t="s">
        <v>41</v>
      </c>
      <c r="G131" s="2" t="s">
        <v>33</v>
      </c>
      <c r="H131" s="2" t="s">
        <v>43</v>
      </c>
      <c r="I131" s="2" t="s">
        <v>86</v>
      </c>
      <c r="J131" s="2" t="s">
        <v>79</v>
      </c>
      <c r="K131" s="2" t="s">
        <v>57</v>
      </c>
      <c r="L131" s="2" t="n">
        <v>4</v>
      </c>
      <c r="M131" s="2" t="str">
        <f aca="false">IF(L131="","",IF(L131=0,"Low",IF(L131=1,"Medium","High")))</f>
        <v>High</v>
      </c>
    </row>
    <row r="132" customFormat="false" ht="15" hidden="false" customHeight="false" outlineLevel="0" collapsed="false">
      <c r="A132" s="2" t="s">
        <v>249</v>
      </c>
      <c r="B132" s="2" t="s">
        <v>248</v>
      </c>
      <c r="C132" s="2" t="s">
        <v>39</v>
      </c>
      <c r="D132" s="6" t="n">
        <v>45808</v>
      </c>
      <c r="E132" s="2" t="s">
        <v>40</v>
      </c>
      <c r="F132" s="2" t="s">
        <v>41</v>
      </c>
      <c r="G132" s="2" t="s">
        <v>33</v>
      </c>
      <c r="H132" s="2" t="s">
        <v>49</v>
      </c>
      <c r="I132" s="2" t="s">
        <v>86</v>
      </c>
      <c r="J132" s="2" t="s">
        <v>79</v>
      </c>
      <c r="K132" s="2" t="s">
        <v>57</v>
      </c>
      <c r="L132" s="2" t="n">
        <v>1</v>
      </c>
      <c r="M132" s="2" t="str">
        <f aca="false">IF(L132="","",IF(L132=0,"Low",IF(L132=1,"Medium","High")))</f>
        <v>Medium</v>
      </c>
    </row>
    <row r="133" customFormat="false" ht="15" hidden="false" customHeight="false" outlineLevel="0" collapsed="false">
      <c r="A133" s="2" t="s">
        <v>250</v>
      </c>
      <c r="B133" s="2" t="s">
        <v>248</v>
      </c>
      <c r="C133" s="2" t="s">
        <v>47</v>
      </c>
      <c r="D133" s="6" t="n">
        <v>46173</v>
      </c>
      <c r="E133" s="2" t="s">
        <v>40</v>
      </c>
      <c r="F133" s="2" t="s">
        <v>41</v>
      </c>
      <c r="G133" s="2" t="s">
        <v>33</v>
      </c>
      <c r="H133" s="2" t="s">
        <v>52</v>
      </c>
      <c r="I133" s="2" t="s">
        <v>86</v>
      </c>
      <c r="J133" s="2" t="s">
        <v>44</v>
      </c>
      <c r="K133" s="2" t="s">
        <v>37</v>
      </c>
      <c r="L133" s="2"/>
      <c r="M133" s="2" t="str">
        <f aca="false">IF(L133="","",IF(L133=0,"Low",IF(L133=1,"Medium","High")))</f>
        <v/>
      </c>
    </row>
    <row r="134" customFormat="false" ht="15" hidden="false" customHeight="false" outlineLevel="0" collapsed="false">
      <c r="A134" s="2" t="s">
        <v>251</v>
      </c>
      <c r="B134" s="2" t="s">
        <v>252</v>
      </c>
      <c r="C134" s="2" t="s">
        <v>30</v>
      </c>
      <c r="D134" s="6" t="n">
        <v>45443</v>
      </c>
      <c r="E134" s="2" t="s">
        <v>60</v>
      </c>
      <c r="F134" s="2" t="s">
        <v>41</v>
      </c>
      <c r="G134" s="2" t="s">
        <v>42</v>
      </c>
      <c r="H134" s="2" t="s">
        <v>49</v>
      </c>
      <c r="I134" s="2" t="s">
        <v>66</v>
      </c>
      <c r="J134" s="2" t="s">
        <v>44</v>
      </c>
      <c r="K134" s="2" t="s">
        <v>37</v>
      </c>
      <c r="L134" s="2"/>
      <c r="M134" s="2" t="str">
        <f aca="false">IF(L134="","",IF(L134=0,"Low",IF(L134=1,"Medium","High")))</f>
        <v/>
      </c>
    </row>
    <row r="135" customFormat="false" ht="15" hidden="false" customHeight="false" outlineLevel="0" collapsed="false">
      <c r="A135" s="2" t="s">
        <v>253</v>
      </c>
      <c r="B135" s="2" t="s">
        <v>254</v>
      </c>
      <c r="C135" s="2" t="s">
        <v>30</v>
      </c>
      <c r="D135" s="6" t="n">
        <v>45443</v>
      </c>
      <c r="E135" s="2" t="s">
        <v>64</v>
      </c>
      <c r="F135" s="2" t="s">
        <v>65</v>
      </c>
      <c r="G135" s="2" t="s">
        <v>65</v>
      </c>
      <c r="H135" s="2" t="s">
        <v>34</v>
      </c>
      <c r="I135" s="2" t="s">
        <v>35</v>
      </c>
      <c r="J135" s="2" t="s">
        <v>36</v>
      </c>
      <c r="K135" s="2" t="s">
        <v>67</v>
      </c>
      <c r="L135" s="2" t="n">
        <v>1</v>
      </c>
      <c r="M135" s="2" t="str">
        <f aca="false">IF(L135="","",IF(L135=0,"Low",IF(L135=1,"Medium","High")))</f>
        <v>Medium</v>
      </c>
    </row>
    <row r="136" customFormat="false" ht="15" hidden="false" customHeight="false" outlineLevel="0" collapsed="false">
      <c r="A136" s="2" t="s">
        <v>255</v>
      </c>
      <c r="B136" s="2" t="s">
        <v>254</v>
      </c>
      <c r="C136" s="2" t="s">
        <v>39</v>
      </c>
      <c r="D136" s="6" t="n">
        <v>45808</v>
      </c>
      <c r="E136" s="2" t="s">
        <v>31</v>
      </c>
      <c r="F136" s="2" t="s">
        <v>32</v>
      </c>
      <c r="G136" s="2" t="s">
        <v>33</v>
      </c>
      <c r="H136" s="2" t="s">
        <v>43</v>
      </c>
      <c r="I136" s="2" t="s">
        <v>35</v>
      </c>
      <c r="J136" s="2" t="s">
        <v>36</v>
      </c>
      <c r="K136" s="2" t="s">
        <v>45</v>
      </c>
      <c r="L136" s="2" t="n">
        <v>0</v>
      </c>
      <c r="M136" s="2" t="str">
        <f aca="false">IF(L136="","",IF(L136=0,"Low",IF(L136=1,"Medium","High")))</f>
        <v>Low</v>
      </c>
    </row>
    <row r="137" customFormat="false" ht="15" hidden="false" customHeight="false" outlineLevel="0" collapsed="false">
      <c r="A137" s="2" t="s">
        <v>256</v>
      </c>
      <c r="B137" s="2" t="s">
        <v>254</v>
      </c>
      <c r="C137" s="2" t="s">
        <v>47</v>
      </c>
      <c r="D137" s="6" t="n">
        <v>46173</v>
      </c>
      <c r="E137" s="2" t="s">
        <v>31</v>
      </c>
      <c r="F137" s="2" t="s">
        <v>32</v>
      </c>
      <c r="G137" s="2" t="s">
        <v>33</v>
      </c>
      <c r="H137" s="2" t="s">
        <v>49</v>
      </c>
      <c r="I137" s="2" t="s">
        <v>35</v>
      </c>
      <c r="J137" s="2" t="s">
        <v>36</v>
      </c>
      <c r="K137" s="2" t="s">
        <v>45</v>
      </c>
      <c r="L137" s="2"/>
      <c r="M137" s="2" t="str">
        <f aca="false">IF(L137="","",IF(L137=0,"Low",IF(L137=1,"Medium","High")))</f>
        <v/>
      </c>
    </row>
    <row r="138" customFormat="false" ht="15" hidden="false" customHeight="false" outlineLevel="0" collapsed="false">
      <c r="A138" s="2" t="s">
        <v>257</v>
      </c>
      <c r="B138" s="2" t="s">
        <v>258</v>
      </c>
      <c r="C138" s="2" t="s">
        <v>30</v>
      </c>
      <c r="D138" s="6" t="n">
        <v>45443</v>
      </c>
      <c r="E138" s="2" t="s">
        <v>60</v>
      </c>
      <c r="F138" s="2" t="s">
        <v>32</v>
      </c>
      <c r="G138" s="2" t="s">
        <v>42</v>
      </c>
      <c r="H138" s="2" t="s">
        <v>43</v>
      </c>
      <c r="I138" s="2" t="s">
        <v>53</v>
      </c>
      <c r="J138" s="2" t="s">
        <v>44</v>
      </c>
      <c r="K138" s="2" t="s">
        <v>67</v>
      </c>
      <c r="L138" s="2" t="n">
        <v>8</v>
      </c>
      <c r="M138" s="2" t="str">
        <f aca="false">IF(L138="","",IF(L138=0,"Low",IF(L138=1,"Medium","High")))</f>
        <v>High</v>
      </c>
    </row>
    <row r="139" customFormat="false" ht="15" hidden="false" customHeight="false" outlineLevel="0" collapsed="false">
      <c r="A139" s="2" t="s">
        <v>259</v>
      </c>
      <c r="B139" s="2" t="s">
        <v>258</v>
      </c>
      <c r="C139" s="2" t="s">
        <v>39</v>
      </c>
      <c r="D139" s="6" t="n">
        <v>45808</v>
      </c>
      <c r="E139" s="2" t="s">
        <v>40</v>
      </c>
      <c r="F139" s="2" t="s">
        <v>41</v>
      </c>
      <c r="G139" s="2" t="s">
        <v>48</v>
      </c>
      <c r="H139" s="2" t="s">
        <v>49</v>
      </c>
      <c r="I139" s="2" t="s">
        <v>53</v>
      </c>
      <c r="J139" s="2" t="s">
        <v>79</v>
      </c>
      <c r="K139" s="2" t="s">
        <v>45</v>
      </c>
      <c r="L139" s="2" t="n">
        <v>2</v>
      </c>
      <c r="M139" s="2" t="str">
        <f aca="false">IF(L139="","",IF(L139=0,"Low",IF(L139=1,"Medium","High")))</f>
        <v>High</v>
      </c>
    </row>
    <row r="140" customFormat="false" ht="15" hidden="false" customHeight="false" outlineLevel="0" collapsed="false">
      <c r="A140" s="2" t="s">
        <v>260</v>
      </c>
      <c r="B140" s="2" t="s">
        <v>258</v>
      </c>
      <c r="C140" s="2" t="s">
        <v>47</v>
      </c>
      <c r="D140" s="6" t="n">
        <v>46173</v>
      </c>
      <c r="E140" s="2" t="s">
        <v>40</v>
      </c>
      <c r="F140" s="2" t="s">
        <v>41</v>
      </c>
      <c r="G140" s="2" t="s">
        <v>48</v>
      </c>
      <c r="H140" s="2" t="s">
        <v>52</v>
      </c>
      <c r="I140" s="2" t="s">
        <v>53</v>
      </c>
      <c r="J140" s="2" t="s">
        <v>79</v>
      </c>
      <c r="K140" s="2" t="s">
        <v>37</v>
      </c>
      <c r="L140" s="2"/>
      <c r="M140" s="2" t="str">
        <f aca="false">IF(L140="","",IF(L140=0,"Low",IF(L140=1,"Medium","High")))</f>
        <v/>
      </c>
    </row>
    <row r="141" customFormat="false" ht="15" hidden="false" customHeight="false" outlineLevel="0" collapsed="false">
      <c r="A141" s="2" t="s">
        <v>261</v>
      </c>
      <c r="B141" s="2" t="s">
        <v>262</v>
      </c>
      <c r="C141" s="2" t="s">
        <v>30</v>
      </c>
      <c r="D141" s="6" t="n">
        <v>45443</v>
      </c>
      <c r="E141" s="2" t="s">
        <v>31</v>
      </c>
      <c r="F141" s="2" t="s">
        <v>32</v>
      </c>
      <c r="G141" s="2" t="s">
        <v>33</v>
      </c>
      <c r="H141" s="2" t="s">
        <v>43</v>
      </c>
      <c r="I141" s="2" t="s">
        <v>86</v>
      </c>
      <c r="J141" s="2" t="s">
        <v>36</v>
      </c>
      <c r="K141" s="2" t="s">
        <v>45</v>
      </c>
      <c r="L141" s="2" t="n">
        <v>0</v>
      </c>
      <c r="M141" s="2" t="str">
        <f aca="false">IF(L141="","",IF(L141=0,"Low",IF(L141=1,"Medium","High")))</f>
        <v>Low</v>
      </c>
    </row>
    <row r="142" customFormat="false" ht="15" hidden="false" customHeight="false" outlineLevel="0" collapsed="false">
      <c r="A142" s="2" t="s">
        <v>263</v>
      </c>
      <c r="B142" s="2" t="s">
        <v>262</v>
      </c>
      <c r="C142" s="2" t="s">
        <v>39</v>
      </c>
      <c r="D142" s="6" t="n">
        <v>45808</v>
      </c>
      <c r="E142" s="2" t="s">
        <v>31</v>
      </c>
      <c r="F142" s="2" t="s">
        <v>32</v>
      </c>
      <c r="G142" s="2" t="s">
        <v>33</v>
      </c>
      <c r="H142" s="2" t="s">
        <v>49</v>
      </c>
      <c r="I142" s="2" t="s">
        <v>86</v>
      </c>
      <c r="J142" s="2" t="s">
        <v>36</v>
      </c>
      <c r="K142" s="2" t="s">
        <v>45</v>
      </c>
      <c r="L142" s="2" t="n">
        <v>0</v>
      </c>
      <c r="M142" s="2" t="str">
        <f aca="false">IF(L142="","",IF(L142=0,"Low",IF(L142=1,"Medium","High")))</f>
        <v>Low</v>
      </c>
    </row>
    <row r="143" customFormat="false" ht="15" hidden="false" customHeight="false" outlineLevel="0" collapsed="false">
      <c r="A143" s="2" t="s">
        <v>264</v>
      </c>
      <c r="B143" s="2" t="s">
        <v>262</v>
      </c>
      <c r="C143" s="2" t="s">
        <v>47</v>
      </c>
      <c r="D143" s="6" t="n">
        <v>46173</v>
      </c>
      <c r="E143" s="2" t="s">
        <v>31</v>
      </c>
      <c r="F143" s="2" t="s">
        <v>32</v>
      </c>
      <c r="G143" s="2" t="s">
        <v>33</v>
      </c>
      <c r="H143" s="2" t="s">
        <v>52</v>
      </c>
      <c r="I143" s="2" t="s">
        <v>86</v>
      </c>
      <c r="J143" s="2" t="s">
        <v>36</v>
      </c>
      <c r="K143" s="2" t="s">
        <v>45</v>
      </c>
      <c r="L143" s="2"/>
      <c r="M143" s="2" t="str">
        <f aca="false">IF(L143="","",IF(L143=0,"Low",IF(L143=1,"Medium","High")))</f>
        <v/>
      </c>
    </row>
    <row r="144" customFormat="false" ht="15" hidden="false" customHeight="false" outlineLevel="0" collapsed="false">
      <c r="A144" s="2" t="s">
        <v>265</v>
      </c>
      <c r="B144" s="2" t="s">
        <v>266</v>
      </c>
      <c r="C144" s="2" t="s">
        <v>30</v>
      </c>
      <c r="D144" s="6" t="n">
        <v>45443</v>
      </c>
      <c r="E144" s="2" t="s">
        <v>64</v>
      </c>
      <c r="F144" s="2" t="s">
        <v>65</v>
      </c>
      <c r="G144" s="2" t="s">
        <v>65</v>
      </c>
      <c r="H144" s="2" t="s">
        <v>52</v>
      </c>
      <c r="I144" s="2" t="s">
        <v>66</v>
      </c>
      <c r="J144" s="2" t="s">
        <v>36</v>
      </c>
      <c r="K144" s="2" t="s">
        <v>67</v>
      </c>
      <c r="L144" s="2"/>
      <c r="M144" s="2" t="str">
        <f aca="false">IF(L144="","",IF(L144=0,"Low",IF(L144=1,"Medium","High")))</f>
        <v/>
      </c>
    </row>
    <row r="145" customFormat="false" ht="15" hidden="false" customHeight="false" outlineLevel="0" collapsed="false">
      <c r="A145" s="2" t="s">
        <v>267</v>
      </c>
      <c r="B145" s="2" t="s">
        <v>268</v>
      </c>
      <c r="C145" s="2" t="s">
        <v>30</v>
      </c>
      <c r="D145" s="6" t="n">
        <v>45443</v>
      </c>
      <c r="E145" s="2" t="s">
        <v>64</v>
      </c>
      <c r="F145" s="2" t="s">
        <v>65</v>
      </c>
      <c r="G145" s="2" t="s">
        <v>65</v>
      </c>
      <c r="H145" s="2" t="s">
        <v>43</v>
      </c>
      <c r="I145" s="2" t="s">
        <v>53</v>
      </c>
      <c r="J145" s="2" t="s">
        <v>36</v>
      </c>
      <c r="K145" s="2" t="s">
        <v>67</v>
      </c>
      <c r="L145" s="2" t="n">
        <v>1</v>
      </c>
      <c r="M145" s="2" t="str">
        <f aca="false">IF(L145="","",IF(L145=0,"Low",IF(L145=1,"Medium","High")))</f>
        <v>Medium</v>
      </c>
    </row>
    <row r="146" customFormat="false" ht="15" hidden="false" customHeight="false" outlineLevel="0" collapsed="false">
      <c r="A146" s="2" t="s">
        <v>269</v>
      </c>
      <c r="B146" s="2" t="s">
        <v>268</v>
      </c>
      <c r="C146" s="2" t="s">
        <v>39</v>
      </c>
      <c r="D146" s="6" t="n">
        <v>45808</v>
      </c>
      <c r="E146" s="2" t="s">
        <v>31</v>
      </c>
      <c r="F146" s="2" t="s">
        <v>32</v>
      </c>
      <c r="G146" s="2" t="s">
        <v>33</v>
      </c>
      <c r="H146" s="2" t="s">
        <v>49</v>
      </c>
      <c r="I146" s="2" t="s">
        <v>53</v>
      </c>
      <c r="J146" s="2" t="s">
        <v>36</v>
      </c>
      <c r="K146" s="2" t="s">
        <v>67</v>
      </c>
      <c r="L146" s="2" t="n">
        <v>0</v>
      </c>
      <c r="M146" s="2" t="str">
        <f aca="false">IF(L146="","",IF(L146=0,"Low",IF(L146=1,"Medium","High")))</f>
        <v>Low</v>
      </c>
    </row>
    <row r="147" customFormat="false" ht="15" hidden="false" customHeight="false" outlineLevel="0" collapsed="false">
      <c r="A147" s="2" t="s">
        <v>270</v>
      </c>
      <c r="B147" s="2" t="s">
        <v>268</v>
      </c>
      <c r="C147" s="2" t="s">
        <v>47</v>
      </c>
      <c r="D147" s="6" t="n">
        <v>46173</v>
      </c>
      <c r="E147" s="2" t="s">
        <v>31</v>
      </c>
      <c r="F147" s="2" t="s">
        <v>32</v>
      </c>
      <c r="G147" s="2" t="s">
        <v>33</v>
      </c>
      <c r="H147" s="2" t="s">
        <v>52</v>
      </c>
      <c r="I147" s="2" t="s">
        <v>53</v>
      </c>
      <c r="J147" s="2" t="s">
        <v>36</v>
      </c>
      <c r="K147" s="2" t="s">
        <v>67</v>
      </c>
      <c r="L147" s="2"/>
      <c r="M147" s="2" t="str">
        <f aca="false">IF(L147="","",IF(L147=0,"Low",IF(L147=1,"Medium","High")))</f>
        <v/>
      </c>
    </row>
    <row r="148" customFormat="false" ht="15" hidden="false" customHeight="false" outlineLevel="0" collapsed="false">
      <c r="A148" s="2" t="s">
        <v>271</v>
      </c>
      <c r="B148" s="2" t="s">
        <v>272</v>
      </c>
      <c r="C148" s="2" t="s">
        <v>30</v>
      </c>
      <c r="D148" s="6" t="n">
        <v>45443</v>
      </c>
      <c r="E148" s="2" t="s">
        <v>64</v>
      </c>
      <c r="F148" s="2" t="s">
        <v>65</v>
      </c>
      <c r="G148" s="2" t="s">
        <v>65</v>
      </c>
      <c r="H148" s="2" t="s">
        <v>52</v>
      </c>
      <c r="I148" s="2" t="s">
        <v>35</v>
      </c>
      <c r="J148" s="2" t="s">
        <v>36</v>
      </c>
      <c r="K148" s="2" t="s">
        <v>67</v>
      </c>
      <c r="L148" s="2"/>
      <c r="M148" s="2" t="str">
        <f aca="false">IF(L148="","",IF(L148=0,"Low",IF(L148=1,"Medium","High")))</f>
        <v/>
      </c>
    </row>
    <row r="149" customFormat="false" ht="15" hidden="false" customHeight="false" outlineLevel="0" collapsed="false">
      <c r="A149" s="2" t="s">
        <v>273</v>
      </c>
      <c r="B149" s="2" t="s">
        <v>274</v>
      </c>
      <c r="C149" s="2" t="s">
        <v>30</v>
      </c>
      <c r="D149" s="6" t="n">
        <v>45443</v>
      </c>
      <c r="E149" s="2" t="s">
        <v>60</v>
      </c>
      <c r="F149" s="2" t="s">
        <v>41</v>
      </c>
      <c r="G149" s="2" t="s">
        <v>110</v>
      </c>
      <c r="H149" s="2" t="s">
        <v>49</v>
      </c>
      <c r="I149" s="2" t="s">
        <v>86</v>
      </c>
      <c r="J149" s="2" t="s">
        <v>44</v>
      </c>
      <c r="K149" s="2" t="s">
        <v>45</v>
      </c>
      <c r="L149" s="2" t="n">
        <v>1</v>
      </c>
      <c r="M149" s="2" t="str">
        <f aca="false">IF(L149="","",IF(L149=0,"Low",IF(L149=1,"Medium","High")))</f>
        <v>Medium</v>
      </c>
    </row>
    <row r="150" customFormat="false" ht="15" hidden="false" customHeight="false" outlineLevel="0" collapsed="false">
      <c r="A150" s="2" t="s">
        <v>275</v>
      </c>
      <c r="B150" s="2" t="s">
        <v>274</v>
      </c>
      <c r="C150" s="2" t="s">
        <v>39</v>
      </c>
      <c r="D150" s="6" t="n">
        <v>45808</v>
      </c>
      <c r="E150" s="2" t="s">
        <v>60</v>
      </c>
      <c r="F150" s="2" t="s">
        <v>41</v>
      </c>
      <c r="G150" s="2" t="s">
        <v>33</v>
      </c>
      <c r="H150" s="2" t="s">
        <v>52</v>
      </c>
      <c r="I150" s="2" t="s">
        <v>86</v>
      </c>
      <c r="J150" s="2" t="s">
        <v>44</v>
      </c>
      <c r="K150" s="2" t="s">
        <v>57</v>
      </c>
      <c r="L150" s="2"/>
      <c r="M150" s="2" t="str">
        <f aca="false">IF(L150="","",IF(L150=0,"Low",IF(L150=1,"Medium","High")))</f>
        <v/>
      </c>
    </row>
    <row r="151" customFormat="false" ht="15" hidden="false" customHeight="false" outlineLevel="0" collapsed="false">
      <c r="A151" s="2" t="s">
        <v>276</v>
      </c>
      <c r="B151" s="2" t="s">
        <v>277</v>
      </c>
      <c r="C151" s="2" t="s">
        <v>30</v>
      </c>
      <c r="D151" s="6" t="n">
        <v>45443</v>
      </c>
      <c r="E151" s="2" t="s">
        <v>31</v>
      </c>
      <c r="F151" s="2" t="s">
        <v>32</v>
      </c>
      <c r="G151" s="2" t="s">
        <v>48</v>
      </c>
      <c r="H151" s="2" t="s">
        <v>34</v>
      </c>
      <c r="I151" s="2" t="s">
        <v>86</v>
      </c>
      <c r="J151" s="2" t="s">
        <v>36</v>
      </c>
      <c r="K151" s="2" t="s">
        <v>37</v>
      </c>
      <c r="L151" s="2" t="n">
        <v>0</v>
      </c>
      <c r="M151" s="2" t="str">
        <f aca="false">IF(L151="","",IF(L151=0,"Low",IF(L151=1,"Medium","High")))</f>
        <v>Low</v>
      </c>
    </row>
    <row r="152" customFormat="false" ht="15" hidden="false" customHeight="false" outlineLevel="0" collapsed="false">
      <c r="A152" s="2" t="s">
        <v>278</v>
      </c>
      <c r="B152" s="2" t="s">
        <v>277</v>
      </c>
      <c r="C152" s="2" t="s">
        <v>39</v>
      </c>
      <c r="D152" s="6" t="n">
        <v>45808</v>
      </c>
      <c r="E152" s="2" t="s">
        <v>31</v>
      </c>
      <c r="F152" s="2" t="s">
        <v>32</v>
      </c>
      <c r="G152" s="2" t="s">
        <v>33</v>
      </c>
      <c r="H152" s="2" t="s">
        <v>43</v>
      </c>
      <c r="I152" s="2" t="s">
        <v>86</v>
      </c>
      <c r="J152" s="2" t="s">
        <v>36</v>
      </c>
      <c r="K152" s="2" t="s">
        <v>37</v>
      </c>
      <c r="L152" s="2" t="n">
        <v>0</v>
      </c>
      <c r="M152" s="2" t="str">
        <f aca="false">IF(L152="","",IF(L152=0,"Low",IF(L152=1,"Medium","High")))</f>
        <v>Low</v>
      </c>
    </row>
    <row r="153" customFormat="false" ht="15" hidden="false" customHeight="false" outlineLevel="0" collapsed="false">
      <c r="A153" s="2" t="s">
        <v>279</v>
      </c>
      <c r="B153" s="2" t="s">
        <v>277</v>
      </c>
      <c r="C153" s="2" t="s">
        <v>47</v>
      </c>
      <c r="D153" s="6" t="n">
        <v>46173</v>
      </c>
      <c r="E153" s="2" t="s">
        <v>31</v>
      </c>
      <c r="F153" s="2" t="s">
        <v>32</v>
      </c>
      <c r="G153" s="2" t="s">
        <v>33</v>
      </c>
      <c r="H153" s="2" t="s">
        <v>49</v>
      </c>
      <c r="I153" s="2" t="s">
        <v>86</v>
      </c>
      <c r="J153" s="2" t="s">
        <v>36</v>
      </c>
      <c r="K153" s="2" t="s">
        <v>37</v>
      </c>
      <c r="L153" s="2"/>
      <c r="M153" s="2" t="str">
        <f aca="false">IF(L153="","",IF(L153=0,"Low",IF(L153=1,"Medium","High")))</f>
        <v/>
      </c>
    </row>
    <row r="154" customFormat="false" ht="15" hidden="false" customHeight="false" outlineLevel="0" collapsed="false">
      <c r="A154" s="2" t="s">
        <v>280</v>
      </c>
      <c r="B154" s="2" t="s">
        <v>281</v>
      </c>
      <c r="C154" s="2" t="s">
        <v>30</v>
      </c>
      <c r="D154" s="6" t="n">
        <v>45443</v>
      </c>
      <c r="E154" s="2" t="s">
        <v>60</v>
      </c>
      <c r="F154" s="2" t="s">
        <v>41</v>
      </c>
      <c r="G154" s="2" t="s">
        <v>110</v>
      </c>
      <c r="H154" s="2" t="s">
        <v>49</v>
      </c>
      <c r="I154" s="2" t="s">
        <v>53</v>
      </c>
      <c r="J154" s="2" t="s">
        <v>44</v>
      </c>
      <c r="K154" s="2" t="s">
        <v>45</v>
      </c>
      <c r="L154" s="2" t="n">
        <v>3</v>
      </c>
      <c r="M154" s="2" t="str">
        <f aca="false">IF(L154="","",IF(L154=0,"Low",IF(L154=1,"Medium","High")))</f>
        <v>High</v>
      </c>
    </row>
    <row r="155" customFormat="false" ht="15" hidden="false" customHeight="false" outlineLevel="0" collapsed="false">
      <c r="A155" s="2" t="s">
        <v>282</v>
      </c>
      <c r="B155" s="2" t="s">
        <v>281</v>
      </c>
      <c r="C155" s="2" t="s">
        <v>39</v>
      </c>
      <c r="D155" s="6" t="n">
        <v>45808</v>
      </c>
      <c r="E155" s="2" t="s">
        <v>40</v>
      </c>
      <c r="F155" s="2" t="s">
        <v>41</v>
      </c>
      <c r="G155" s="2" t="s">
        <v>48</v>
      </c>
      <c r="H155" s="2" t="s">
        <v>52</v>
      </c>
      <c r="I155" s="2" t="s">
        <v>53</v>
      </c>
      <c r="J155" s="2" t="s">
        <v>44</v>
      </c>
      <c r="K155" s="2" t="s">
        <v>45</v>
      </c>
      <c r="L155" s="2"/>
      <c r="M155" s="2" t="str">
        <f aca="false">IF(L155="","",IF(L155=0,"Low",IF(L155=1,"Medium","High")))</f>
        <v/>
      </c>
    </row>
    <row r="156" customFormat="false" ht="15" hidden="false" customHeight="false" outlineLevel="0" collapsed="false">
      <c r="A156" s="2" t="s">
        <v>283</v>
      </c>
      <c r="B156" s="2" t="s">
        <v>284</v>
      </c>
      <c r="C156" s="2" t="s">
        <v>30</v>
      </c>
      <c r="D156" s="6" t="n">
        <v>45443</v>
      </c>
      <c r="E156" s="2" t="s">
        <v>64</v>
      </c>
      <c r="F156" s="2" t="s">
        <v>65</v>
      </c>
      <c r="G156" s="2" t="s">
        <v>65</v>
      </c>
      <c r="H156" s="2" t="s">
        <v>43</v>
      </c>
      <c r="I156" s="2" t="s">
        <v>86</v>
      </c>
      <c r="J156" s="2" t="s">
        <v>36</v>
      </c>
      <c r="K156" s="2" t="s">
        <v>67</v>
      </c>
      <c r="L156" s="2" t="n">
        <v>0</v>
      </c>
      <c r="M156" s="2" t="str">
        <f aca="false">IF(L156="","",IF(L156=0,"Low",IF(L156=1,"Medium","High")))</f>
        <v>Low</v>
      </c>
    </row>
    <row r="157" customFormat="false" ht="15" hidden="false" customHeight="false" outlineLevel="0" collapsed="false">
      <c r="A157" s="2" t="s">
        <v>285</v>
      </c>
      <c r="B157" s="2" t="s">
        <v>284</v>
      </c>
      <c r="C157" s="2" t="s">
        <v>39</v>
      </c>
      <c r="D157" s="6" t="n">
        <v>45808</v>
      </c>
      <c r="E157" s="2" t="s">
        <v>64</v>
      </c>
      <c r="F157" s="2" t="s">
        <v>65</v>
      </c>
      <c r="G157" s="2" t="s">
        <v>65</v>
      </c>
      <c r="H157" s="2" t="s">
        <v>49</v>
      </c>
      <c r="I157" s="2" t="s">
        <v>86</v>
      </c>
      <c r="J157" s="2" t="s">
        <v>36</v>
      </c>
      <c r="K157" s="2" t="s">
        <v>67</v>
      </c>
      <c r="L157" s="2" t="n">
        <v>0</v>
      </c>
      <c r="M157" s="2" t="str">
        <f aca="false">IF(L157="","",IF(L157=0,"Low",IF(L157=1,"Medium","High")))</f>
        <v>Low</v>
      </c>
    </row>
    <row r="158" customFormat="false" ht="15" hidden="false" customHeight="false" outlineLevel="0" collapsed="false">
      <c r="A158" s="2" t="s">
        <v>286</v>
      </c>
      <c r="B158" s="2" t="s">
        <v>284</v>
      </c>
      <c r="C158" s="2" t="s">
        <v>47</v>
      </c>
      <c r="D158" s="6" t="n">
        <v>46173</v>
      </c>
      <c r="E158" s="2" t="s">
        <v>64</v>
      </c>
      <c r="F158" s="2" t="s">
        <v>65</v>
      </c>
      <c r="G158" s="2" t="s">
        <v>65</v>
      </c>
      <c r="H158" s="2" t="s">
        <v>52</v>
      </c>
      <c r="I158" s="2" t="s">
        <v>86</v>
      </c>
      <c r="J158" s="2" t="s">
        <v>36</v>
      </c>
      <c r="K158" s="2" t="s">
        <v>67</v>
      </c>
      <c r="L158" s="2"/>
      <c r="M158" s="2" t="str">
        <f aca="false">IF(L158="","",IF(L158=0,"Low",IF(L158=1,"Medium","High")))</f>
        <v/>
      </c>
    </row>
    <row r="159" customFormat="false" ht="15" hidden="false" customHeight="false" outlineLevel="0" collapsed="false">
      <c r="A159" s="2" t="s">
        <v>287</v>
      </c>
      <c r="B159" s="2" t="s">
        <v>288</v>
      </c>
      <c r="C159" s="2" t="s">
        <v>30</v>
      </c>
      <c r="D159" s="6" t="n">
        <v>45443</v>
      </c>
      <c r="E159" s="2" t="s">
        <v>64</v>
      </c>
      <c r="F159" s="2" t="s">
        <v>65</v>
      </c>
      <c r="G159" s="2" t="s">
        <v>65</v>
      </c>
      <c r="H159" s="2" t="s">
        <v>49</v>
      </c>
      <c r="I159" s="2" t="s">
        <v>86</v>
      </c>
      <c r="J159" s="2" t="s">
        <v>36</v>
      </c>
      <c r="K159" s="2" t="s">
        <v>67</v>
      </c>
      <c r="L159" s="2" t="n">
        <v>0</v>
      </c>
      <c r="M159" s="2" t="str">
        <f aca="false">IF(L159="","",IF(L159=0,"Low",IF(L159=1,"Medium","High")))</f>
        <v>Low</v>
      </c>
    </row>
    <row r="160" customFormat="false" ht="15" hidden="false" customHeight="false" outlineLevel="0" collapsed="false">
      <c r="A160" s="2" t="s">
        <v>289</v>
      </c>
      <c r="B160" s="2" t="s">
        <v>288</v>
      </c>
      <c r="C160" s="2" t="s">
        <v>39</v>
      </c>
      <c r="D160" s="6" t="n">
        <v>45808</v>
      </c>
      <c r="E160" s="2" t="s">
        <v>64</v>
      </c>
      <c r="F160" s="2" t="s">
        <v>65</v>
      </c>
      <c r="G160" s="2" t="s">
        <v>65</v>
      </c>
      <c r="H160" s="2" t="s">
        <v>52</v>
      </c>
      <c r="I160" s="2" t="s">
        <v>86</v>
      </c>
      <c r="J160" s="2" t="s">
        <v>36</v>
      </c>
      <c r="K160" s="2" t="s">
        <v>67</v>
      </c>
      <c r="L160" s="2"/>
      <c r="M160" s="2" t="str">
        <f aca="false">IF(L160="","",IF(L160=0,"Low",IF(L160=1,"Medium","High")))</f>
        <v/>
      </c>
    </row>
    <row r="161" customFormat="false" ht="15" hidden="false" customHeight="false" outlineLevel="0" collapsed="false">
      <c r="A161" s="2" t="s">
        <v>290</v>
      </c>
      <c r="B161" s="2" t="s">
        <v>291</v>
      </c>
      <c r="C161" s="2" t="s">
        <v>30</v>
      </c>
      <c r="D161" s="6" t="n">
        <v>45443</v>
      </c>
      <c r="E161" s="2" t="s">
        <v>31</v>
      </c>
      <c r="F161" s="2" t="s">
        <v>32</v>
      </c>
      <c r="G161" s="2" t="s">
        <v>33</v>
      </c>
      <c r="H161" s="2" t="s">
        <v>49</v>
      </c>
      <c r="I161" s="2" t="s">
        <v>86</v>
      </c>
      <c r="J161" s="2" t="s">
        <v>36</v>
      </c>
      <c r="K161" s="2" t="s">
        <v>67</v>
      </c>
      <c r="L161" s="2" t="n">
        <v>0</v>
      </c>
      <c r="M161" s="2" t="str">
        <f aca="false">IF(L161="","",IF(L161=0,"Low",IF(L161=1,"Medium","High")))</f>
        <v>Low</v>
      </c>
    </row>
    <row r="162" customFormat="false" ht="15" hidden="false" customHeight="false" outlineLevel="0" collapsed="false">
      <c r="A162" s="2" t="s">
        <v>292</v>
      </c>
      <c r="B162" s="2" t="s">
        <v>291</v>
      </c>
      <c r="C162" s="2" t="s">
        <v>39</v>
      </c>
      <c r="D162" s="6" t="n">
        <v>45808</v>
      </c>
      <c r="E162" s="2" t="s">
        <v>31</v>
      </c>
      <c r="F162" s="2" t="s">
        <v>32</v>
      </c>
      <c r="G162" s="2" t="s">
        <v>33</v>
      </c>
      <c r="H162" s="2" t="s">
        <v>52</v>
      </c>
      <c r="I162" s="2" t="s">
        <v>86</v>
      </c>
      <c r="J162" s="2" t="s">
        <v>36</v>
      </c>
      <c r="K162" s="2" t="s">
        <v>67</v>
      </c>
      <c r="L162" s="2"/>
      <c r="M162" s="2" t="str">
        <f aca="false">IF(L162="","",IF(L162=0,"Low",IF(L162=1,"Medium","High")))</f>
        <v/>
      </c>
    </row>
    <row r="163" customFormat="false" ht="15" hidden="false" customHeight="false" outlineLevel="0" collapsed="false">
      <c r="A163" s="2" t="s">
        <v>293</v>
      </c>
      <c r="B163" s="2" t="s">
        <v>294</v>
      </c>
      <c r="C163" s="2" t="s">
        <v>30</v>
      </c>
      <c r="D163" s="6" t="n">
        <v>45443</v>
      </c>
      <c r="E163" s="2" t="s">
        <v>31</v>
      </c>
      <c r="F163" s="2" t="s">
        <v>32</v>
      </c>
      <c r="G163" s="2" t="s">
        <v>33</v>
      </c>
      <c r="H163" s="2" t="s">
        <v>43</v>
      </c>
      <c r="I163" s="2" t="s">
        <v>53</v>
      </c>
      <c r="J163" s="2" t="s">
        <v>36</v>
      </c>
      <c r="K163" s="2" t="s">
        <v>45</v>
      </c>
      <c r="L163" s="2" t="n">
        <v>2</v>
      </c>
      <c r="M163" s="2" t="str">
        <f aca="false">IF(L163="","",IF(L163=0,"Low",IF(L163=1,"Medium","High")))</f>
        <v>High</v>
      </c>
    </row>
    <row r="164" customFormat="false" ht="15" hidden="false" customHeight="false" outlineLevel="0" collapsed="false">
      <c r="A164" s="2" t="s">
        <v>295</v>
      </c>
      <c r="B164" s="2" t="s">
        <v>294</v>
      </c>
      <c r="C164" s="2" t="s">
        <v>39</v>
      </c>
      <c r="D164" s="6" t="n">
        <v>45808</v>
      </c>
      <c r="E164" s="2" t="s">
        <v>60</v>
      </c>
      <c r="F164" s="2" t="s">
        <v>32</v>
      </c>
      <c r="G164" s="2" t="s">
        <v>33</v>
      </c>
      <c r="H164" s="2" t="s">
        <v>49</v>
      </c>
      <c r="I164" s="2" t="s">
        <v>53</v>
      </c>
      <c r="J164" s="2" t="s">
        <v>44</v>
      </c>
      <c r="K164" s="2" t="s">
        <v>45</v>
      </c>
      <c r="L164" s="2" t="n">
        <v>2</v>
      </c>
      <c r="M164" s="2" t="str">
        <f aca="false">IF(L164="","",IF(L164=0,"Low",IF(L164=1,"Medium","High")))</f>
        <v>High</v>
      </c>
    </row>
    <row r="165" customFormat="false" ht="15" hidden="false" customHeight="false" outlineLevel="0" collapsed="false">
      <c r="A165" s="2" t="s">
        <v>296</v>
      </c>
      <c r="B165" s="2" t="s">
        <v>294</v>
      </c>
      <c r="C165" s="2" t="s">
        <v>47</v>
      </c>
      <c r="D165" s="6" t="n">
        <v>46173</v>
      </c>
      <c r="E165" s="2" t="s">
        <v>40</v>
      </c>
      <c r="F165" s="2" t="s">
        <v>41</v>
      </c>
      <c r="G165" s="2" t="s">
        <v>33</v>
      </c>
      <c r="H165" s="2" t="s">
        <v>52</v>
      </c>
      <c r="I165" s="2" t="s">
        <v>53</v>
      </c>
      <c r="J165" s="2" t="s">
        <v>44</v>
      </c>
      <c r="K165" s="2" t="s">
        <v>57</v>
      </c>
      <c r="L165" s="2"/>
      <c r="M165" s="2" t="str">
        <f aca="false">IF(L165="","",IF(L165=0,"Low",IF(L165=1,"Medium","High")))</f>
        <v/>
      </c>
    </row>
    <row r="166" customFormat="false" ht="15" hidden="false" customHeight="false" outlineLevel="0" collapsed="false">
      <c r="A166" s="2" t="s">
        <v>297</v>
      </c>
      <c r="B166" s="2" t="s">
        <v>298</v>
      </c>
      <c r="C166" s="2" t="s">
        <v>30</v>
      </c>
      <c r="D166" s="6" t="n">
        <v>45443</v>
      </c>
      <c r="E166" s="2" t="s">
        <v>64</v>
      </c>
      <c r="F166" s="2" t="s">
        <v>65</v>
      </c>
      <c r="G166" s="2" t="s">
        <v>65</v>
      </c>
      <c r="H166" s="2" t="s">
        <v>43</v>
      </c>
      <c r="I166" s="2" t="s">
        <v>66</v>
      </c>
      <c r="J166" s="2" t="s">
        <v>36</v>
      </c>
      <c r="K166" s="2" t="s">
        <v>67</v>
      </c>
      <c r="L166" s="2" t="n">
        <v>0</v>
      </c>
      <c r="M166" s="2" t="str">
        <f aca="false">IF(L166="","",IF(L166=0,"Low",IF(L166=1,"Medium","High")))</f>
        <v>Low</v>
      </c>
    </row>
    <row r="167" customFormat="false" ht="15" hidden="false" customHeight="false" outlineLevel="0" collapsed="false">
      <c r="A167" s="2" t="s">
        <v>299</v>
      </c>
      <c r="B167" s="2" t="s">
        <v>298</v>
      </c>
      <c r="C167" s="2" t="s">
        <v>39</v>
      </c>
      <c r="D167" s="6" t="n">
        <v>45808</v>
      </c>
      <c r="E167" s="2" t="s">
        <v>64</v>
      </c>
      <c r="F167" s="2" t="s">
        <v>65</v>
      </c>
      <c r="G167" s="2" t="s">
        <v>65</v>
      </c>
      <c r="H167" s="2" t="s">
        <v>49</v>
      </c>
      <c r="I167" s="2" t="s">
        <v>66</v>
      </c>
      <c r="J167" s="2" t="s">
        <v>36</v>
      </c>
      <c r="K167" s="2" t="s">
        <v>67</v>
      </c>
      <c r="L167" s="2" t="n">
        <v>0</v>
      </c>
      <c r="M167" s="2" t="str">
        <f aca="false">IF(L167="","",IF(L167=0,"Low",IF(L167=1,"Medium","High")))</f>
        <v>Low</v>
      </c>
    </row>
    <row r="168" customFormat="false" ht="15" hidden="false" customHeight="false" outlineLevel="0" collapsed="false">
      <c r="A168" s="2" t="s">
        <v>300</v>
      </c>
      <c r="B168" s="2" t="s">
        <v>298</v>
      </c>
      <c r="C168" s="2" t="s">
        <v>47</v>
      </c>
      <c r="D168" s="6" t="n">
        <v>46173</v>
      </c>
      <c r="E168" s="2" t="s">
        <v>64</v>
      </c>
      <c r="F168" s="2" t="s">
        <v>65</v>
      </c>
      <c r="G168" s="2" t="s">
        <v>65</v>
      </c>
      <c r="H168" s="2" t="s">
        <v>52</v>
      </c>
      <c r="I168" s="2" t="s">
        <v>66</v>
      </c>
      <c r="J168" s="2" t="s">
        <v>36</v>
      </c>
      <c r="K168" s="2" t="s">
        <v>67</v>
      </c>
      <c r="L168" s="2"/>
      <c r="M168" s="2" t="str">
        <f aca="false">IF(L168="","",IF(L168=0,"Low",IF(L168=1,"Medium","High")))</f>
        <v/>
      </c>
    </row>
    <row r="169" customFormat="false" ht="15" hidden="false" customHeight="false" outlineLevel="0" collapsed="false">
      <c r="A169" s="2" t="s">
        <v>301</v>
      </c>
      <c r="B169" s="2" t="s">
        <v>302</v>
      </c>
      <c r="C169" s="2" t="s">
        <v>30</v>
      </c>
      <c r="D169" s="6" t="n">
        <v>45443</v>
      </c>
      <c r="E169" s="2" t="s">
        <v>60</v>
      </c>
      <c r="F169" s="2" t="s">
        <v>32</v>
      </c>
      <c r="G169" s="2" t="s">
        <v>48</v>
      </c>
      <c r="H169" s="2" t="s">
        <v>34</v>
      </c>
      <c r="I169" s="2" t="s">
        <v>35</v>
      </c>
      <c r="J169" s="2" t="s">
        <v>79</v>
      </c>
      <c r="K169" s="2" t="s">
        <v>57</v>
      </c>
      <c r="L169" s="2" t="n">
        <v>2</v>
      </c>
      <c r="M169" s="2" t="str">
        <f aca="false">IF(L169="","",IF(L169=0,"Low",IF(L169=1,"Medium","High")))</f>
        <v>High</v>
      </c>
    </row>
    <row r="170" customFormat="false" ht="15" hidden="false" customHeight="false" outlineLevel="0" collapsed="false">
      <c r="A170" s="2" t="s">
        <v>303</v>
      </c>
      <c r="B170" s="2" t="s">
        <v>302</v>
      </c>
      <c r="C170" s="2" t="s">
        <v>39</v>
      </c>
      <c r="D170" s="6" t="n">
        <v>45808</v>
      </c>
      <c r="E170" s="2" t="s">
        <v>40</v>
      </c>
      <c r="F170" s="2" t="s">
        <v>32</v>
      </c>
      <c r="G170" s="2" t="s">
        <v>33</v>
      </c>
      <c r="H170" s="2" t="s">
        <v>43</v>
      </c>
      <c r="I170" s="2" t="s">
        <v>35</v>
      </c>
      <c r="J170" s="2" t="s">
        <v>44</v>
      </c>
      <c r="K170" s="2" t="s">
        <v>45</v>
      </c>
      <c r="L170" s="2"/>
      <c r="M170" s="2" t="str">
        <f aca="false">IF(L170="","",IF(L170=0,"Low",IF(L170=1,"Medium","High")))</f>
        <v/>
      </c>
    </row>
    <row r="171" customFormat="false" ht="15" hidden="false" customHeight="false" outlineLevel="0" collapsed="false">
      <c r="A171" s="2" t="s">
        <v>304</v>
      </c>
      <c r="B171" s="2" t="s">
        <v>305</v>
      </c>
      <c r="C171" s="2" t="s">
        <v>30</v>
      </c>
      <c r="D171" s="6" t="n">
        <v>45443</v>
      </c>
      <c r="E171" s="2" t="s">
        <v>64</v>
      </c>
      <c r="F171" s="2" t="s">
        <v>65</v>
      </c>
      <c r="G171" s="2" t="s">
        <v>65</v>
      </c>
      <c r="H171" s="2" t="s">
        <v>49</v>
      </c>
      <c r="I171" s="2" t="s">
        <v>86</v>
      </c>
      <c r="J171" s="2" t="s">
        <v>36</v>
      </c>
      <c r="K171" s="2" t="s">
        <v>67</v>
      </c>
      <c r="L171" s="2" t="n">
        <v>0</v>
      </c>
      <c r="M171" s="2" t="str">
        <f aca="false">IF(L171="","",IF(L171=0,"Low",IF(L171=1,"Medium","High")))</f>
        <v>Low</v>
      </c>
    </row>
    <row r="172" customFormat="false" ht="15" hidden="false" customHeight="false" outlineLevel="0" collapsed="false">
      <c r="A172" s="2" t="s">
        <v>306</v>
      </c>
      <c r="B172" s="2" t="s">
        <v>305</v>
      </c>
      <c r="C172" s="2" t="s">
        <v>39</v>
      </c>
      <c r="D172" s="6" t="n">
        <v>45808</v>
      </c>
      <c r="E172" s="2" t="s">
        <v>64</v>
      </c>
      <c r="F172" s="2" t="s">
        <v>65</v>
      </c>
      <c r="G172" s="2" t="s">
        <v>65</v>
      </c>
      <c r="H172" s="2" t="s">
        <v>52</v>
      </c>
      <c r="I172" s="2" t="s">
        <v>86</v>
      </c>
      <c r="J172" s="2" t="s">
        <v>36</v>
      </c>
      <c r="K172" s="2" t="s">
        <v>67</v>
      </c>
      <c r="L172" s="2"/>
      <c r="M172" s="2" t="str">
        <f aca="false">IF(L172="","",IF(L172=0,"Low",IF(L172=1,"Medium","High")))</f>
        <v/>
      </c>
    </row>
    <row r="173" customFormat="false" ht="15" hidden="false" customHeight="false" outlineLevel="0" collapsed="false">
      <c r="A173" s="2" t="s">
        <v>307</v>
      </c>
      <c r="B173" s="2" t="s">
        <v>308</v>
      </c>
      <c r="C173" s="2" t="s">
        <v>30</v>
      </c>
      <c r="D173" s="6" t="n">
        <v>45443</v>
      </c>
      <c r="E173" s="2" t="s">
        <v>60</v>
      </c>
      <c r="F173" s="2" t="s">
        <v>41</v>
      </c>
      <c r="G173" s="2" t="s">
        <v>42</v>
      </c>
      <c r="H173" s="2" t="s">
        <v>49</v>
      </c>
      <c r="I173" s="2" t="s">
        <v>35</v>
      </c>
      <c r="J173" s="2" t="s">
        <v>44</v>
      </c>
      <c r="K173" s="2" t="s">
        <v>45</v>
      </c>
      <c r="L173" s="2" t="n">
        <v>1</v>
      </c>
      <c r="M173" s="2" t="str">
        <f aca="false">IF(L173="","",IF(L173=0,"Low",IF(L173=1,"Medium","High")))</f>
        <v>Medium</v>
      </c>
    </row>
    <row r="174" customFormat="false" ht="15" hidden="false" customHeight="false" outlineLevel="0" collapsed="false">
      <c r="A174" s="2" t="s">
        <v>309</v>
      </c>
      <c r="B174" s="2" t="s">
        <v>308</v>
      </c>
      <c r="C174" s="2" t="s">
        <v>39</v>
      </c>
      <c r="D174" s="6" t="n">
        <v>45808</v>
      </c>
      <c r="E174" s="2" t="s">
        <v>60</v>
      </c>
      <c r="F174" s="2" t="s">
        <v>41</v>
      </c>
      <c r="G174" s="2" t="s">
        <v>33</v>
      </c>
      <c r="H174" s="2" t="s">
        <v>52</v>
      </c>
      <c r="I174" s="2" t="s">
        <v>35</v>
      </c>
      <c r="J174" s="2" t="s">
        <v>44</v>
      </c>
      <c r="K174" s="2" t="s">
        <v>37</v>
      </c>
      <c r="L174" s="2"/>
      <c r="M174" s="2" t="str">
        <f aca="false">IF(L174="","",IF(L174=0,"Low",IF(L174=1,"Medium","High")))</f>
        <v/>
      </c>
    </row>
    <row r="175" customFormat="false" ht="15" hidden="false" customHeight="false" outlineLevel="0" collapsed="false">
      <c r="A175" s="2" t="s">
        <v>310</v>
      </c>
      <c r="B175" s="2" t="s">
        <v>311</v>
      </c>
      <c r="C175" s="2" t="s">
        <v>30</v>
      </c>
      <c r="D175" s="6" t="n">
        <v>45443</v>
      </c>
      <c r="E175" s="2" t="s">
        <v>60</v>
      </c>
      <c r="F175" s="2" t="s">
        <v>41</v>
      </c>
      <c r="G175" s="2" t="s">
        <v>48</v>
      </c>
      <c r="H175" s="2" t="s">
        <v>49</v>
      </c>
      <c r="I175" s="2" t="s">
        <v>53</v>
      </c>
      <c r="J175" s="2" t="s">
        <v>44</v>
      </c>
      <c r="K175" s="2" t="s">
        <v>45</v>
      </c>
      <c r="L175" s="2" t="n">
        <v>0</v>
      </c>
      <c r="M175" s="2" t="str">
        <f aca="false">IF(L175="","",IF(L175=0,"Low",IF(L175=1,"Medium","High")))</f>
        <v>Low</v>
      </c>
    </row>
    <row r="176" customFormat="false" ht="15" hidden="false" customHeight="false" outlineLevel="0" collapsed="false">
      <c r="A176" s="2" t="s">
        <v>312</v>
      </c>
      <c r="B176" s="2" t="s">
        <v>311</v>
      </c>
      <c r="C176" s="2" t="s">
        <v>39</v>
      </c>
      <c r="D176" s="6" t="n">
        <v>45808</v>
      </c>
      <c r="E176" s="2" t="s">
        <v>60</v>
      </c>
      <c r="F176" s="2" t="s">
        <v>41</v>
      </c>
      <c r="G176" s="2" t="s">
        <v>33</v>
      </c>
      <c r="H176" s="2" t="s">
        <v>52</v>
      </c>
      <c r="I176" s="2" t="s">
        <v>53</v>
      </c>
      <c r="J176" s="2" t="s">
        <v>44</v>
      </c>
      <c r="K176" s="2" t="s">
        <v>45</v>
      </c>
      <c r="L176" s="2"/>
      <c r="M176" s="2" t="str">
        <f aca="false">IF(L176="","",IF(L176=0,"Low",IF(L176=1,"Medium","High")))</f>
        <v/>
      </c>
    </row>
    <row r="177" customFormat="false" ht="15" hidden="false" customHeight="false" outlineLevel="0" collapsed="false">
      <c r="A177" s="2" t="s">
        <v>313</v>
      </c>
      <c r="B177" s="2" t="s">
        <v>314</v>
      </c>
      <c r="C177" s="2" t="s">
        <v>30</v>
      </c>
      <c r="D177" s="6" t="n">
        <v>45443</v>
      </c>
      <c r="E177" s="2" t="s">
        <v>60</v>
      </c>
      <c r="F177" s="2" t="s">
        <v>56</v>
      </c>
      <c r="G177" s="2" t="s">
        <v>42</v>
      </c>
      <c r="H177" s="2" t="s">
        <v>43</v>
      </c>
      <c r="I177" s="2" t="s">
        <v>53</v>
      </c>
      <c r="J177" s="2" t="s">
        <v>44</v>
      </c>
      <c r="K177" s="2" t="s">
        <v>37</v>
      </c>
      <c r="L177" s="2" t="n">
        <v>2</v>
      </c>
      <c r="M177" s="2" t="str">
        <f aca="false">IF(L177="","",IF(L177=0,"Low",IF(L177=1,"Medium","High")))</f>
        <v>High</v>
      </c>
    </row>
    <row r="178" customFormat="false" ht="15" hidden="false" customHeight="false" outlineLevel="0" collapsed="false">
      <c r="A178" s="2" t="s">
        <v>315</v>
      </c>
      <c r="B178" s="2" t="s">
        <v>314</v>
      </c>
      <c r="C178" s="2" t="s">
        <v>39</v>
      </c>
      <c r="D178" s="6" t="n">
        <v>45808</v>
      </c>
      <c r="E178" s="2" t="s">
        <v>40</v>
      </c>
      <c r="F178" s="2" t="s">
        <v>41</v>
      </c>
      <c r="G178" s="2" t="s">
        <v>48</v>
      </c>
      <c r="H178" s="2" t="s">
        <v>49</v>
      </c>
      <c r="I178" s="2" t="s">
        <v>53</v>
      </c>
      <c r="J178" s="2" t="s">
        <v>44</v>
      </c>
      <c r="K178" s="2" t="s">
        <v>57</v>
      </c>
      <c r="L178" s="2" t="n">
        <v>2</v>
      </c>
      <c r="M178" s="2" t="str">
        <f aca="false">IF(L178="","",IF(L178=0,"Low",IF(L178=1,"Medium","High")))</f>
        <v>High</v>
      </c>
    </row>
    <row r="179" customFormat="false" ht="15" hidden="false" customHeight="false" outlineLevel="0" collapsed="false">
      <c r="A179" s="2" t="s">
        <v>316</v>
      </c>
      <c r="B179" s="2" t="s">
        <v>314</v>
      </c>
      <c r="C179" s="2" t="s">
        <v>47</v>
      </c>
      <c r="D179" s="6" t="n">
        <v>46173</v>
      </c>
      <c r="E179" s="2" t="s">
        <v>40</v>
      </c>
      <c r="F179" s="2" t="s">
        <v>41</v>
      </c>
      <c r="G179" s="2" t="s">
        <v>42</v>
      </c>
      <c r="H179" s="2" t="s">
        <v>52</v>
      </c>
      <c r="I179" s="2" t="s">
        <v>53</v>
      </c>
      <c r="J179" s="2" t="s">
        <v>44</v>
      </c>
      <c r="K179" s="2" t="s">
        <v>37</v>
      </c>
      <c r="L179" s="2"/>
      <c r="M179" s="2" t="str">
        <f aca="false">IF(L179="","",IF(L179=0,"Low",IF(L179=1,"Medium","High")))</f>
        <v/>
      </c>
    </row>
    <row r="180" customFormat="false" ht="15" hidden="false" customHeight="false" outlineLevel="0" collapsed="false">
      <c r="A180" s="2" t="s">
        <v>317</v>
      </c>
      <c r="B180" s="2" t="s">
        <v>318</v>
      </c>
      <c r="C180" s="2" t="s">
        <v>30</v>
      </c>
      <c r="D180" s="6" t="n">
        <v>45443</v>
      </c>
      <c r="E180" s="2" t="s">
        <v>31</v>
      </c>
      <c r="F180" s="2" t="s">
        <v>32</v>
      </c>
      <c r="G180" s="2" t="s">
        <v>48</v>
      </c>
      <c r="H180" s="2" t="s">
        <v>34</v>
      </c>
      <c r="I180" s="2" t="s">
        <v>53</v>
      </c>
      <c r="J180" s="2" t="s">
        <v>36</v>
      </c>
      <c r="K180" s="2" t="s">
        <v>45</v>
      </c>
      <c r="L180" s="2" t="n">
        <v>1</v>
      </c>
      <c r="M180" s="2" t="str">
        <f aca="false">IF(L180="","",IF(L180=0,"Low",IF(L180=1,"Medium","High")))</f>
        <v>Medium</v>
      </c>
    </row>
    <row r="181" customFormat="false" ht="15" hidden="false" customHeight="false" outlineLevel="0" collapsed="false">
      <c r="A181" s="2" t="s">
        <v>319</v>
      </c>
      <c r="B181" s="2" t="s">
        <v>318</v>
      </c>
      <c r="C181" s="2" t="s">
        <v>39</v>
      </c>
      <c r="D181" s="6" t="n">
        <v>45808</v>
      </c>
      <c r="E181" s="2" t="s">
        <v>60</v>
      </c>
      <c r="F181" s="2" t="s">
        <v>32</v>
      </c>
      <c r="G181" s="2" t="s">
        <v>48</v>
      </c>
      <c r="H181" s="2" t="s">
        <v>43</v>
      </c>
      <c r="I181" s="2" t="s">
        <v>53</v>
      </c>
      <c r="J181" s="2" t="s">
        <v>44</v>
      </c>
      <c r="K181" s="2" t="s">
        <v>45</v>
      </c>
      <c r="L181" s="2" t="n">
        <v>0</v>
      </c>
      <c r="M181" s="2" t="str">
        <f aca="false">IF(L181="","",IF(L181=0,"Low",IF(L181=1,"Medium","High")))</f>
        <v>Low</v>
      </c>
    </row>
    <row r="182" customFormat="false" ht="15" hidden="false" customHeight="false" outlineLevel="0" collapsed="false">
      <c r="A182" s="2" t="s">
        <v>320</v>
      </c>
      <c r="B182" s="2" t="s">
        <v>318</v>
      </c>
      <c r="C182" s="2" t="s">
        <v>47</v>
      </c>
      <c r="D182" s="6" t="n">
        <v>46173</v>
      </c>
      <c r="E182" s="2" t="s">
        <v>60</v>
      </c>
      <c r="F182" s="2" t="s">
        <v>32</v>
      </c>
      <c r="G182" s="2" t="s">
        <v>33</v>
      </c>
      <c r="H182" s="2" t="s">
        <v>49</v>
      </c>
      <c r="I182" s="2" t="s">
        <v>53</v>
      </c>
      <c r="J182" s="2" t="s">
        <v>44</v>
      </c>
      <c r="K182" s="2" t="s">
        <v>45</v>
      </c>
      <c r="L182" s="2"/>
      <c r="M182" s="2" t="str">
        <f aca="false">IF(L182="","",IF(L182=0,"Low",IF(L182=1,"Medium","High")))</f>
        <v/>
      </c>
    </row>
    <row r="183" customFormat="false" ht="15" hidden="false" customHeight="false" outlineLevel="0" collapsed="false">
      <c r="A183" s="2" t="s">
        <v>321</v>
      </c>
      <c r="B183" s="2" t="s">
        <v>322</v>
      </c>
      <c r="C183" s="2" t="s">
        <v>30</v>
      </c>
      <c r="D183" s="6" t="n">
        <v>45443</v>
      </c>
      <c r="E183" s="2" t="s">
        <v>64</v>
      </c>
      <c r="F183" s="2" t="s">
        <v>65</v>
      </c>
      <c r="G183" s="2" t="s">
        <v>65</v>
      </c>
      <c r="H183" s="2" t="s">
        <v>43</v>
      </c>
      <c r="I183" s="2" t="s">
        <v>66</v>
      </c>
      <c r="J183" s="2" t="s">
        <v>36</v>
      </c>
      <c r="K183" s="2" t="s">
        <v>67</v>
      </c>
      <c r="L183" s="2" t="n">
        <v>0</v>
      </c>
      <c r="M183" s="2" t="str">
        <f aca="false">IF(L183="","",IF(L183=0,"Low",IF(L183=1,"Medium","High")))</f>
        <v>Low</v>
      </c>
    </row>
    <row r="184" customFormat="false" ht="15" hidden="false" customHeight="false" outlineLevel="0" collapsed="false">
      <c r="A184" s="2" t="s">
        <v>323</v>
      </c>
      <c r="B184" s="2" t="s">
        <v>322</v>
      </c>
      <c r="C184" s="2" t="s">
        <v>39</v>
      </c>
      <c r="D184" s="6" t="n">
        <v>45808</v>
      </c>
      <c r="E184" s="2" t="s">
        <v>64</v>
      </c>
      <c r="F184" s="2" t="s">
        <v>65</v>
      </c>
      <c r="G184" s="2" t="s">
        <v>65</v>
      </c>
      <c r="H184" s="2" t="s">
        <v>49</v>
      </c>
      <c r="I184" s="2" t="s">
        <v>66</v>
      </c>
      <c r="J184" s="2" t="s">
        <v>36</v>
      </c>
      <c r="K184" s="2" t="s">
        <v>67</v>
      </c>
      <c r="L184" s="2" t="n">
        <v>0</v>
      </c>
      <c r="M184" s="2" t="str">
        <f aca="false">IF(L184="","",IF(L184=0,"Low",IF(L184=1,"Medium","High")))</f>
        <v>Low</v>
      </c>
    </row>
    <row r="185" customFormat="false" ht="15" hidden="false" customHeight="false" outlineLevel="0" collapsed="false">
      <c r="A185" s="2" t="s">
        <v>324</v>
      </c>
      <c r="B185" s="2" t="s">
        <v>322</v>
      </c>
      <c r="C185" s="2" t="s">
        <v>47</v>
      </c>
      <c r="D185" s="6" t="n">
        <v>46173</v>
      </c>
      <c r="E185" s="2" t="s">
        <v>64</v>
      </c>
      <c r="F185" s="2" t="s">
        <v>65</v>
      </c>
      <c r="G185" s="2" t="s">
        <v>65</v>
      </c>
      <c r="H185" s="2" t="s">
        <v>52</v>
      </c>
      <c r="I185" s="2" t="s">
        <v>66</v>
      </c>
      <c r="J185" s="2" t="s">
        <v>36</v>
      </c>
      <c r="K185" s="2" t="s">
        <v>67</v>
      </c>
      <c r="L185" s="2"/>
      <c r="M185" s="2" t="str">
        <f aca="false">IF(L185="","",IF(L185=0,"Low",IF(L185=1,"Medium","High")))</f>
        <v/>
      </c>
    </row>
    <row r="186" customFormat="false" ht="15" hidden="false" customHeight="false" outlineLevel="0" collapsed="false">
      <c r="A186" s="2" t="s">
        <v>325</v>
      </c>
      <c r="B186" s="2" t="s">
        <v>326</v>
      </c>
      <c r="C186" s="2" t="s">
        <v>30</v>
      </c>
      <c r="D186" s="6" t="n">
        <v>45443</v>
      </c>
      <c r="E186" s="2" t="s">
        <v>64</v>
      </c>
      <c r="F186" s="2" t="s">
        <v>65</v>
      </c>
      <c r="G186" s="2" t="s">
        <v>65</v>
      </c>
      <c r="H186" s="2" t="s">
        <v>52</v>
      </c>
      <c r="I186" s="2" t="s">
        <v>53</v>
      </c>
      <c r="J186" s="2" t="s">
        <v>36</v>
      </c>
      <c r="K186" s="2" t="s">
        <v>67</v>
      </c>
      <c r="L186" s="2"/>
      <c r="M186" s="2" t="str">
        <f aca="false">IF(L186="","",IF(L186=0,"Low",IF(L186=1,"Medium","High")))</f>
        <v/>
      </c>
    </row>
    <row r="187" customFormat="false" ht="15" hidden="false" customHeight="false" outlineLevel="0" collapsed="false">
      <c r="A187" s="2" t="s">
        <v>327</v>
      </c>
      <c r="B187" s="2" t="s">
        <v>328</v>
      </c>
      <c r="C187" s="2" t="s">
        <v>30</v>
      </c>
      <c r="D187" s="6" t="n">
        <v>45443</v>
      </c>
      <c r="E187" s="2" t="s">
        <v>60</v>
      </c>
      <c r="F187" s="2" t="s">
        <v>56</v>
      </c>
      <c r="G187" s="2" t="s">
        <v>42</v>
      </c>
      <c r="H187" s="2" t="s">
        <v>43</v>
      </c>
      <c r="I187" s="2" t="s">
        <v>66</v>
      </c>
      <c r="J187" s="2" t="s">
        <v>44</v>
      </c>
      <c r="K187" s="2" t="s">
        <v>37</v>
      </c>
      <c r="L187" s="2" t="n">
        <v>2</v>
      </c>
      <c r="M187" s="2" t="str">
        <f aca="false">IF(L187="","",IF(L187=0,"Low",IF(L187=1,"Medium","High")))</f>
        <v>High</v>
      </c>
    </row>
    <row r="188" customFormat="false" ht="15" hidden="false" customHeight="false" outlineLevel="0" collapsed="false">
      <c r="A188" s="2" t="s">
        <v>329</v>
      </c>
      <c r="B188" s="2" t="s">
        <v>328</v>
      </c>
      <c r="C188" s="2" t="s">
        <v>39</v>
      </c>
      <c r="D188" s="6" t="n">
        <v>45808</v>
      </c>
      <c r="E188" s="2" t="s">
        <v>40</v>
      </c>
      <c r="F188" s="2" t="s">
        <v>41</v>
      </c>
      <c r="G188" s="2" t="s">
        <v>33</v>
      </c>
      <c r="H188" s="2" t="s">
        <v>49</v>
      </c>
      <c r="I188" s="2" t="s">
        <v>66</v>
      </c>
      <c r="J188" s="2" t="s">
        <v>44</v>
      </c>
      <c r="K188" s="2" t="s">
        <v>45</v>
      </c>
      <c r="L188" s="2" t="n">
        <v>2</v>
      </c>
      <c r="M188" s="2" t="str">
        <f aca="false">IF(L188="","",IF(L188=0,"Low",IF(L188=1,"Medium","High")))</f>
        <v>High</v>
      </c>
    </row>
    <row r="189" customFormat="false" ht="15" hidden="false" customHeight="false" outlineLevel="0" collapsed="false">
      <c r="A189" s="2" t="s">
        <v>330</v>
      </c>
      <c r="B189" s="2" t="s">
        <v>328</v>
      </c>
      <c r="C189" s="2" t="s">
        <v>47</v>
      </c>
      <c r="D189" s="6" t="n">
        <v>46173</v>
      </c>
      <c r="E189" s="2" t="s">
        <v>40</v>
      </c>
      <c r="F189" s="2" t="s">
        <v>41</v>
      </c>
      <c r="G189" s="2" t="s">
        <v>48</v>
      </c>
      <c r="H189" s="2" t="s">
        <v>52</v>
      </c>
      <c r="I189" s="2" t="s">
        <v>66</v>
      </c>
      <c r="J189" s="2" t="s">
        <v>44</v>
      </c>
      <c r="K189" s="2" t="s">
        <v>45</v>
      </c>
      <c r="L189" s="2"/>
      <c r="M189" s="2" t="str">
        <f aca="false">IF(L189="","",IF(L189=0,"Low",IF(L189=1,"Medium","High")))</f>
        <v/>
      </c>
    </row>
    <row r="190" customFormat="false" ht="15" hidden="false" customHeight="false" outlineLevel="0" collapsed="false">
      <c r="A190" s="2" t="s">
        <v>331</v>
      </c>
      <c r="B190" s="2" t="s">
        <v>332</v>
      </c>
      <c r="C190" s="2" t="s">
        <v>30</v>
      </c>
      <c r="D190" s="6" t="n">
        <v>45443</v>
      </c>
      <c r="E190" s="2" t="s">
        <v>60</v>
      </c>
      <c r="F190" s="2" t="s">
        <v>41</v>
      </c>
      <c r="G190" s="2" t="s">
        <v>48</v>
      </c>
      <c r="H190" s="2" t="s">
        <v>52</v>
      </c>
      <c r="I190" s="2" t="s">
        <v>86</v>
      </c>
      <c r="J190" s="2" t="s">
        <v>44</v>
      </c>
      <c r="K190" s="2" t="s">
        <v>57</v>
      </c>
      <c r="L190" s="2"/>
      <c r="M190" s="2" t="str">
        <f aca="false">IF(L190="","",IF(L190=0,"Low",IF(L190=1,"Medium","High")))</f>
        <v/>
      </c>
    </row>
    <row r="191" customFormat="false" ht="15" hidden="false" customHeight="false" outlineLevel="0" collapsed="false">
      <c r="A191" s="2" t="s">
        <v>333</v>
      </c>
      <c r="B191" s="2" t="s">
        <v>334</v>
      </c>
      <c r="C191" s="2" t="s">
        <v>30</v>
      </c>
      <c r="D191" s="6" t="n">
        <v>45443</v>
      </c>
      <c r="E191" s="2" t="s">
        <v>31</v>
      </c>
      <c r="F191" s="2" t="s">
        <v>32</v>
      </c>
      <c r="G191" s="2" t="s">
        <v>48</v>
      </c>
      <c r="H191" s="2" t="s">
        <v>52</v>
      </c>
      <c r="I191" s="2" t="s">
        <v>66</v>
      </c>
      <c r="J191" s="2" t="s">
        <v>36</v>
      </c>
      <c r="K191" s="2" t="s">
        <v>45</v>
      </c>
      <c r="L191" s="2"/>
      <c r="M191" s="2" t="str">
        <f aca="false">IF(L191="","",IF(L191=0,"Low",IF(L191=1,"Medium","High")))</f>
        <v/>
      </c>
    </row>
    <row r="192" customFormat="false" ht="15" hidden="false" customHeight="false" outlineLevel="0" collapsed="false">
      <c r="A192" s="2" t="s">
        <v>335</v>
      </c>
      <c r="B192" s="2" t="s">
        <v>336</v>
      </c>
      <c r="C192" s="2" t="s">
        <v>30</v>
      </c>
      <c r="D192" s="6" t="n">
        <v>45443</v>
      </c>
      <c r="E192" s="2" t="s">
        <v>40</v>
      </c>
      <c r="F192" s="2" t="s">
        <v>41</v>
      </c>
      <c r="G192" s="2" t="s">
        <v>42</v>
      </c>
      <c r="H192" s="2" t="s">
        <v>49</v>
      </c>
      <c r="I192" s="2" t="s">
        <v>86</v>
      </c>
      <c r="J192" s="2" t="s">
        <v>79</v>
      </c>
      <c r="K192" s="2" t="s">
        <v>45</v>
      </c>
      <c r="L192" s="2" t="n">
        <v>2</v>
      </c>
      <c r="M192" s="2" t="str">
        <f aca="false">IF(L192="","",IF(L192=0,"Low",IF(L192=1,"Medium","High")))</f>
        <v>High</v>
      </c>
    </row>
    <row r="193" customFormat="false" ht="15" hidden="false" customHeight="false" outlineLevel="0" collapsed="false">
      <c r="A193" s="2" t="s">
        <v>337</v>
      </c>
      <c r="B193" s="2" t="s">
        <v>336</v>
      </c>
      <c r="C193" s="2" t="s">
        <v>39</v>
      </c>
      <c r="D193" s="6" t="n">
        <v>45808</v>
      </c>
      <c r="E193" s="2" t="s">
        <v>40</v>
      </c>
      <c r="F193" s="2" t="s">
        <v>41</v>
      </c>
      <c r="G193" s="2" t="s">
        <v>42</v>
      </c>
      <c r="H193" s="2" t="s">
        <v>52</v>
      </c>
      <c r="I193" s="2" t="s">
        <v>86</v>
      </c>
      <c r="J193" s="2" t="s">
        <v>44</v>
      </c>
      <c r="K193" s="2" t="s">
        <v>67</v>
      </c>
      <c r="L193" s="2"/>
      <c r="M193" s="2" t="str">
        <f aca="false">IF(L193="","",IF(L193=0,"Low",IF(L193=1,"Medium","High")))</f>
        <v/>
      </c>
    </row>
    <row r="194" customFormat="false" ht="15" hidden="false" customHeight="false" outlineLevel="0" collapsed="false">
      <c r="A194" s="2" t="s">
        <v>338</v>
      </c>
      <c r="B194" s="2" t="s">
        <v>339</v>
      </c>
      <c r="C194" s="2" t="s">
        <v>30</v>
      </c>
      <c r="D194" s="6" t="n">
        <v>45443</v>
      </c>
      <c r="E194" s="2" t="s">
        <v>64</v>
      </c>
      <c r="F194" s="2" t="s">
        <v>65</v>
      </c>
      <c r="G194" s="2" t="s">
        <v>65</v>
      </c>
      <c r="H194" s="2" t="s">
        <v>49</v>
      </c>
      <c r="I194" s="2" t="s">
        <v>35</v>
      </c>
      <c r="J194" s="2" t="s">
        <v>36</v>
      </c>
      <c r="K194" s="2" t="s">
        <v>67</v>
      </c>
      <c r="L194" s="2" t="n">
        <v>0</v>
      </c>
      <c r="M194" s="2" t="str">
        <f aca="false">IF(L194="","",IF(L194=0,"Low",IF(L194=1,"Medium","High")))</f>
        <v>Low</v>
      </c>
    </row>
    <row r="195" customFormat="false" ht="15" hidden="false" customHeight="false" outlineLevel="0" collapsed="false">
      <c r="A195" s="2" t="s">
        <v>340</v>
      </c>
      <c r="B195" s="2" t="s">
        <v>339</v>
      </c>
      <c r="C195" s="2" t="s">
        <v>39</v>
      </c>
      <c r="D195" s="6" t="n">
        <v>45808</v>
      </c>
      <c r="E195" s="2" t="s">
        <v>64</v>
      </c>
      <c r="F195" s="2" t="s">
        <v>65</v>
      </c>
      <c r="G195" s="2" t="s">
        <v>65</v>
      </c>
      <c r="H195" s="2" t="s">
        <v>52</v>
      </c>
      <c r="I195" s="2" t="s">
        <v>35</v>
      </c>
      <c r="J195" s="2" t="s">
        <v>36</v>
      </c>
      <c r="K195" s="2" t="s">
        <v>67</v>
      </c>
      <c r="L195" s="2"/>
      <c r="M195" s="2" t="str">
        <f aca="false">IF(L195="","",IF(L195=0,"Low",IF(L195=1,"Medium","High")))</f>
        <v/>
      </c>
    </row>
    <row r="196" customFormat="false" ht="15" hidden="false" customHeight="false" outlineLevel="0" collapsed="false">
      <c r="A196" s="2" t="s">
        <v>341</v>
      </c>
      <c r="B196" s="2" t="s">
        <v>342</v>
      </c>
      <c r="C196" s="2" t="s">
        <v>30</v>
      </c>
      <c r="D196" s="6" t="n">
        <v>45443</v>
      </c>
      <c r="E196" s="2" t="s">
        <v>64</v>
      </c>
      <c r="F196" s="2" t="s">
        <v>65</v>
      </c>
      <c r="G196" s="2" t="s">
        <v>65</v>
      </c>
      <c r="H196" s="2" t="s">
        <v>52</v>
      </c>
      <c r="I196" s="2" t="s">
        <v>66</v>
      </c>
      <c r="J196" s="2" t="s">
        <v>36</v>
      </c>
      <c r="K196" s="2" t="s">
        <v>67</v>
      </c>
      <c r="L196" s="2"/>
      <c r="M196" s="2" t="str">
        <f aca="false">IF(L196="","",IF(L196=0,"Low",IF(L196=1,"Medium","High")))</f>
        <v/>
      </c>
    </row>
    <row r="197" customFormat="false" ht="15" hidden="false" customHeight="false" outlineLevel="0" collapsed="false">
      <c r="A197" s="2" t="s">
        <v>343</v>
      </c>
      <c r="B197" s="2" t="s">
        <v>344</v>
      </c>
      <c r="C197" s="2" t="s">
        <v>30</v>
      </c>
      <c r="D197" s="6" t="n">
        <v>45443</v>
      </c>
      <c r="E197" s="2" t="s">
        <v>31</v>
      </c>
      <c r="F197" s="2" t="s">
        <v>56</v>
      </c>
      <c r="G197" s="2" t="s">
        <v>33</v>
      </c>
      <c r="H197" s="2" t="s">
        <v>52</v>
      </c>
      <c r="I197" s="2" t="s">
        <v>53</v>
      </c>
      <c r="J197" s="2" t="s">
        <v>36</v>
      </c>
      <c r="K197" s="2" t="s">
        <v>37</v>
      </c>
      <c r="L197" s="2"/>
      <c r="M197" s="2" t="str">
        <f aca="false">IF(L197="","",IF(L197=0,"Low",IF(L197=1,"Medium","High")))</f>
        <v/>
      </c>
    </row>
    <row r="198" customFormat="false" ht="15" hidden="false" customHeight="false" outlineLevel="0" collapsed="false">
      <c r="A198" s="2" t="s">
        <v>345</v>
      </c>
      <c r="B198" s="2" t="s">
        <v>346</v>
      </c>
      <c r="C198" s="2" t="s">
        <v>30</v>
      </c>
      <c r="D198" s="6" t="n">
        <v>45443</v>
      </c>
      <c r="E198" s="2" t="s">
        <v>64</v>
      </c>
      <c r="F198" s="2" t="s">
        <v>65</v>
      </c>
      <c r="G198" s="2" t="s">
        <v>65</v>
      </c>
      <c r="H198" s="2" t="s">
        <v>43</v>
      </c>
      <c r="I198" s="2" t="s">
        <v>35</v>
      </c>
      <c r="J198" s="2" t="s">
        <v>36</v>
      </c>
      <c r="K198" s="2" t="s">
        <v>67</v>
      </c>
      <c r="L198" s="2" t="n">
        <v>0</v>
      </c>
      <c r="M198" s="2" t="str">
        <f aca="false">IF(L198="","",IF(L198=0,"Low",IF(L198=1,"Medium","High")))</f>
        <v>Low</v>
      </c>
    </row>
    <row r="199" customFormat="false" ht="15" hidden="false" customHeight="false" outlineLevel="0" collapsed="false">
      <c r="A199" s="2" t="s">
        <v>347</v>
      </c>
      <c r="B199" s="2" t="s">
        <v>346</v>
      </c>
      <c r="C199" s="2" t="s">
        <v>39</v>
      </c>
      <c r="D199" s="6" t="n">
        <v>45808</v>
      </c>
      <c r="E199" s="2" t="s">
        <v>64</v>
      </c>
      <c r="F199" s="2" t="s">
        <v>65</v>
      </c>
      <c r="G199" s="2" t="s">
        <v>65</v>
      </c>
      <c r="H199" s="2" t="s">
        <v>49</v>
      </c>
      <c r="I199" s="2" t="s">
        <v>35</v>
      </c>
      <c r="J199" s="2" t="s">
        <v>36</v>
      </c>
      <c r="K199" s="2" t="s">
        <v>67</v>
      </c>
      <c r="L199" s="2" t="n">
        <v>1</v>
      </c>
      <c r="M199" s="2" t="str">
        <f aca="false">IF(L199="","",IF(L199=0,"Low",IF(L199=1,"Medium","High")))</f>
        <v>Medium</v>
      </c>
    </row>
    <row r="200" customFormat="false" ht="15" hidden="false" customHeight="false" outlineLevel="0" collapsed="false">
      <c r="A200" s="2" t="s">
        <v>348</v>
      </c>
      <c r="B200" s="2" t="s">
        <v>346</v>
      </c>
      <c r="C200" s="2" t="s">
        <v>47</v>
      </c>
      <c r="D200" s="6" t="n">
        <v>46173</v>
      </c>
      <c r="E200" s="2" t="s">
        <v>31</v>
      </c>
      <c r="F200" s="2" t="s">
        <v>32</v>
      </c>
      <c r="G200" s="2" t="s">
        <v>33</v>
      </c>
      <c r="H200" s="2" t="s">
        <v>52</v>
      </c>
      <c r="I200" s="2" t="s">
        <v>35</v>
      </c>
      <c r="J200" s="2" t="s">
        <v>36</v>
      </c>
      <c r="K200" s="2" t="s">
        <v>45</v>
      </c>
      <c r="L200" s="2"/>
      <c r="M200" s="2" t="str">
        <f aca="false">IF(L200="","",IF(L200=0,"Low",IF(L200=1,"Medium","High")))</f>
        <v/>
      </c>
    </row>
    <row r="201" customFormat="false" ht="15" hidden="false" customHeight="false" outlineLevel="0" collapsed="false">
      <c r="A201" s="2" t="s">
        <v>349</v>
      </c>
      <c r="B201" s="2" t="s">
        <v>350</v>
      </c>
      <c r="C201" s="2" t="s">
        <v>30</v>
      </c>
      <c r="D201" s="6" t="n">
        <v>45443</v>
      </c>
      <c r="E201" s="2" t="s">
        <v>64</v>
      </c>
      <c r="F201" s="2" t="s">
        <v>65</v>
      </c>
      <c r="G201" s="2" t="s">
        <v>65</v>
      </c>
      <c r="H201" s="2" t="s">
        <v>34</v>
      </c>
      <c r="I201" s="2" t="s">
        <v>86</v>
      </c>
      <c r="J201" s="2" t="s">
        <v>36</v>
      </c>
      <c r="K201" s="2" t="s">
        <v>67</v>
      </c>
      <c r="L201" s="2" t="n">
        <v>1</v>
      </c>
      <c r="M201" s="2" t="str">
        <f aca="false">IF(L201="","",IF(L201=0,"Low",IF(L201=1,"Medium","High")))</f>
        <v>Medium</v>
      </c>
    </row>
    <row r="202" customFormat="false" ht="15" hidden="false" customHeight="false" outlineLevel="0" collapsed="false">
      <c r="A202" s="2" t="s">
        <v>351</v>
      </c>
      <c r="B202" s="2" t="s">
        <v>350</v>
      </c>
      <c r="C202" s="2" t="s">
        <v>39</v>
      </c>
      <c r="D202" s="6" t="n">
        <v>45808</v>
      </c>
      <c r="E202" s="2" t="s">
        <v>31</v>
      </c>
      <c r="F202" s="2" t="s">
        <v>56</v>
      </c>
      <c r="G202" s="2" t="s">
        <v>33</v>
      </c>
      <c r="H202" s="2" t="s">
        <v>43</v>
      </c>
      <c r="I202" s="2" t="s">
        <v>86</v>
      </c>
      <c r="J202" s="2" t="s">
        <v>36</v>
      </c>
      <c r="K202" s="2" t="s">
        <v>45</v>
      </c>
      <c r="L202" s="2" t="n">
        <v>0</v>
      </c>
      <c r="M202" s="2" t="str">
        <f aca="false">IF(L202="","",IF(L202=0,"Low",IF(L202=1,"Medium","High")))</f>
        <v>Low</v>
      </c>
    </row>
    <row r="203" customFormat="false" ht="15" hidden="false" customHeight="false" outlineLevel="0" collapsed="false">
      <c r="A203" s="2" t="s">
        <v>352</v>
      </c>
      <c r="B203" s="2" t="s">
        <v>350</v>
      </c>
      <c r="C203" s="2" t="s">
        <v>47</v>
      </c>
      <c r="D203" s="6" t="n">
        <v>46173</v>
      </c>
      <c r="E203" s="2" t="s">
        <v>31</v>
      </c>
      <c r="F203" s="2" t="s">
        <v>56</v>
      </c>
      <c r="G203" s="2" t="s">
        <v>33</v>
      </c>
      <c r="H203" s="2" t="s">
        <v>49</v>
      </c>
      <c r="I203" s="2" t="s">
        <v>86</v>
      </c>
      <c r="J203" s="2" t="s">
        <v>36</v>
      </c>
      <c r="K203" s="2" t="s">
        <v>45</v>
      </c>
      <c r="L203" s="2"/>
      <c r="M203" s="2" t="str">
        <f aca="false">IF(L203="","",IF(L203=0,"Low",IF(L203=1,"Medium","High")))</f>
        <v/>
      </c>
    </row>
    <row r="204" customFormat="false" ht="15" hidden="false" customHeight="false" outlineLevel="0" collapsed="false">
      <c r="A204" s="2" t="s">
        <v>353</v>
      </c>
      <c r="B204" s="2" t="s">
        <v>354</v>
      </c>
      <c r="C204" s="2" t="s">
        <v>30</v>
      </c>
      <c r="D204" s="6" t="n">
        <v>45443</v>
      </c>
      <c r="E204" s="2" t="s">
        <v>64</v>
      </c>
      <c r="F204" s="2" t="s">
        <v>65</v>
      </c>
      <c r="G204" s="2" t="s">
        <v>65</v>
      </c>
      <c r="H204" s="2" t="s">
        <v>52</v>
      </c>
      <c r="I204" s="2" t="s">
        <v>53</v>
      </c>
      <c r="J204" s="2" t="s">
        <v>36</v>
      </c>
      <c r="K204" s="2" t="s">
        <v>67</v>
      </c>
      <c r="L204" s="2"/>
      <c r="M204" s="2" t="str">
        <f aca="false">IF(L204="","",IF(L204=0,"Low",IF(L204=1,"Medium","High")))</f>
        <v/>
      </c>
    </row>
    <row r="205" customFormat="false" ht="15" hidden="false" customHeight="false" outlineLevel="0" collapsed="false">
      <c r="A205" s="2" t="s">
        <v>355</v>
      </c>
      <c r="B205" s="2" t="s">
        <v>356</v>
      </c>
      <c r="C205" s="2" t="s">
        <v>30</v>
      </c>
      <c r="D205" s="6" t="n">
        <v>45443</v>
      </c>
      <c r="E205" s="2" t="s">
        <v>64</v>
      </c>
      <c r="F205" s="2" t="s">
        <v>65</v>
      </c>
      <c r="G205" s="2" t="s">
        <v>65</v>
      </c>
      <c r="H205" s="2" t="s">
        <v>49</v>
      </c>
      <c r="I205" s="2" t="s">
        <v>35</v>
      </c>
      <c r="J205" s="2" t="s">
        <v>36</v>
      </c>
      <c r="K205" s="2" t="s">
        <v>67</v>
      </c>
      <c r="L205" s="2" t="n">
        <v>0</v>
      </c>
      <c r="M205" s="2" t="str">
        <f aca="false">IF(L205="","",IF(L205=0,"Low",IF(L205=1,"Medium","High")))</f>
        <v>Low</v>
      </c>
    </row>
    <row r="206" customFormat="false" ht="15" hidden="false" customHeight="false" outlineLevel="0" collapsed="false">
      <c r="A206" s="2" t="s">
        <v>357</v>
      </c>
      <c r="B206" s="2" t="s">
        <v>356</v>
      </c>
      <c r="C206" s="2" t="s">
        <v>39</v>
      </c>
      <c r="D206" s="6" t="n">
        <v>45808</v>
      </c>
      <c r="E206" s="2" t="s">
        <v>64</v>
      </c>
      <c r="F206" s="2" t="s">
        <v>65</v>
      </c>
      <c r="G206" s="2" t="s">
        <v>65</v>
      </c>
      <c r="H206" s="2" t="s">
        <v>52</v>
      </c>
      <c r="I206" s="2" t="s">
        <v>35</v>
      </c>
      <c r="J206" s="2" t="s">
        <v>36</v>
      </c>
      <c r="K206" s="2" t="s">
        <v>67</v>
      </c>
      <c r="L206" s="2"/>
      <c r="M206" s="2" t="str">
        <f aca="false">IF(L206="","",IF(L206=0,"Low",IF(L206=1,"Medium","High")))</f>
        <v/>
      </c>
    </row>
    <row r="207" customFormat="false" ht="15" hidden="false" customHeight="false" outlineLevel="0" collapsed="false">
      <c r="A207" s="2" t="s">
        <v>358</v>
      </c>
      <c r="B207" s="2" t="s">
        <v>359</v>
      </c>
      <c r="C207" s="2" t="s">
        <v>30</v>
      </c>
      <c r="D207" s="6" t="n">
        <v>45443</v>
      </c>
      <c r="E207" s="2" t="s">
        <v>31</v>
      </c>
      <c r="F207" s="2" t="s">
        <v>32</v>
      </c>
      <c r="G207" s="2" t="s">
        <v>33</v>
      </c>
      <c r="H207" s="2" t="s">
        <v>49</v>
      </c>
      <c r="I207" s="2" t="s">
        <v>53</v>
      </c>
      <c r="J207" s="2" t="s">
        <v>36</v>
      </c>
      <c r="K207" s="2" t="s">
        <v>45</v>
      </c>
      <c r="L207" s="2" t="n">
        <v>1</v>
      </c>
      <c r="M207" s="2" t="str">
        <f aca="false">IF(L207="","",IF(L207=0,"Low",IF(L207=1,"Medium","High")))</f>
        <v>Medium</v>
      </c>
    </row>
    <row r="208" customFormat="false" ht="15" hidden="false" customHeight="false" outlineLevel="0" collapsed="false">
      <c r="A208" s="2" t="s">
        <v>360</v>
      </c>
      <c r="B208" s="2" t="s">
        <v>359</v>
      </c>
      <c r="C208" s="2" t="s">
        <v>39</v>
      </c>
      <c r="D208" s="6" t="n">
        <v>45808</v>
      </c>
      <c r="E208" s="2" t="s">
        <v>60</v>
      </c>
      <c r="F208" s="2" t="s">
        <v>41</v>
      </c>
      <c r="G208" s="2" t="s">
        <v>33</v>
      </c>
      <c r="H208" s="2" t="s">
        <v>52</v>
      </c>
      <c r="I208" s="2" t="s">
        <v>53</v>
      </c>
      <c r="J208" s="2" t="s">
        <v>44</v>
      </c>
      <c r="K208" s="2" t="s">
        <v>45</v>
      </c>
      <c r="L208" s="2"/>
      <c r="M208" s="2" t="str">
        <f aca="false">IF(L208="","",IF(L208=0,"Low",IF(L208=1,"Medium","High")))</f>
        <v/>
      </c>
    </row>
    <row r="209" customFormat="false" ht="15" hidden="false" customHeight="false" outlineLevel="0" collapsed="false">
      <c r="A209" s="2" t="s">
        <v>361</v>
      </c>
      <c r="B209" s="2" t="s">
        <v>362</v>
      </c>
      <c r="C209" s="2" t="s">
        <v>30</v>
      </c>
      <c r="D209" s="6" t="n">
        <v>45443</v>
      </c>
      <c r="E209" s="2" t="s">
        <v>64</v>
      </c>
      <c r="F209" s="2" t="s">
        <v>65</v>
      </c>
      <c r="G209" s="2" t="s">
        <v>65</v>
      </c>
      <c r="H209" s="2" t="s">
        <v>49</v>
      </c>
      <c r="I209" s="2" t="s">
        <v>35</v>
      </c>
      <c r="J209" s="2" t="s">
        <v>36</v>
      </c>
      <c r="K209" s="2" t="s">
        <v>67</v>
      </c>
      <c r="L209" s="2" t="n">
        <v>0</v>
      </c>
      <c r="M209" s="2" t="str">
        <f aca="false">IF(L209="","",IF(L209=0,"Low",IF(L209=1,"Medium","High")))</f>
        <v>Low</v>
      </c>
    </row>
    <row r="210" customFormat="false" ht="15" hidden="false" customHeight="false" outlineLevel="0" collapsed="false">
      <c r="A210" s="2" t="s">
        <v>363</v>
      </c>
      <c r="B210" s="2" t="s">
        <v>362</v>
      </c>
      <c r="C210" s="2" t="s">
        <v>39</v>
      </c>
      <c r="D210" s="6" t="n">
        <v>45808</v>
      </c>
      <c r="E210" s="2" t="s">
        <v>64</v>
      </c>
      <c r="F210" s="2" t="s">
        <v>65</v>
      </c>
      <c r="G210" s="2" t="s">
        <v>65</v>
      </c>
      <c r="H210" s="2" t="s">
        <v>52</v>
      </c>
      <c r="I210" s="2" t="s">
        <v>35</v>
      </c>
      <c r="J210" s="2" t="s">
        <v>36</v>
      </c>
      <c r="K210" s="2" t="s">
        <v>67</v>
      </c>
      <c r="L210" s="2"/>
      <c r="M210" s="2" t="str">
        <f aca="false">IF(L210="","",IF(L210=0,"Low",IF(L210=1,"Medium","High")))</f>
        <v/>
      </c>
    </row>
    <row r="211" customFormat="false" ht="15" hidden="false" customHeight="false" outlineLevel="0" collapsed="false">
      <c r="A211" s="2" t="s">
        <v>364</v>
      </c>
      <c r="B211" s="2" t="s">
        <v>365</v>
      </c>
      <c r="C211" s="2" t="s">
        <v>30</v>
      </c>
      <c r="D211" s="6" t="n">
        <v>45443</v>
      </c>
      <c r="E211" s="2" t="s">
        <v>31</v>
      </c>
      <c r="F211" s="2" t="s">
        <v>32</v>
      </c>
      <c r="G211" s="2" t="s">
        <v>33</v>
      </c>
      <c r="H211" s="2" t="s">
        <v>43</v>
      </c>
      <c r="I211" s="2" t="s">
        <v>53</v>
      </c>
      <c r="J211" s="2" t="s">
        <v>36</v>
      </c>
      <c r="K211" s="2" t="s">
        <v>37</v>
      </c>
      <c r="L211" s="2" t="n">
        <v>0</v>
      </c>
      <c r="M211" s="2" t="str">
        <f aca="false">IF(L211="","",IF(L211=0,"Low",IF(L211=1,"Medium","High")))</f>
        <v>Low</v>
      </c>
    </row>
    <row r="212" customFormat="false" ht="15" hidden="false" customHeight="false" outlineLevel="0" collapsed="false">
      <c r="A212" s="2" t="s">
        <v>366</v>
      </c>
      <c r="B212" s="2" t="s">
        <v>365</v>
      </c>
      <c r="C212" s="2" t="s">
        <v>39</v>
      </c>
      <c r="D212" s="6" t="n">
        <v>45808</v>
      </c>
      <c r="E212" s="2" t="s">
        <v>31</v>
      </c>
      <c r="F212" s="2" t="s">
        <v>32</v>
      </c>
      <c r="G212" s="2" t="s">
        <v>33</v>
      </c>
      <c r="H212" s="2" t="s">
        <v>49</v>
      </c>
      <c r="I212" s="2" t="s">
        <v>53</v>
      </c>
      <c r="J212" s="2" t="s">
        <v>36</v>
      </c>
      <c r="K212" s="2" t="s">
        <v>37</v>
      </c>
      <c r="L212" s="2" t="n">
        <v>1</v>
      </c>
      <c r="M212" s="2" t="str">
        <f aca="false">IF(L212="","",IF(L212=0,"Low",IF(L212=1,"Medium","High")))</f>
        <v>Medium</v>
      </c>
    </row>
    <row r="213" customFormat="false" ht="15" hidden="false" customHeight="false" outlineLevel="0" collapsed="false">
      <c r="A213" s="2" t="s">
        <v>367</v>
      </c>
      <c r="B213" s="2" t="s">
        <v>365</v>
      </c>
      <c r="C213" s="2" t="s">
        <v>47</v>
      </c>
      <c r="D213" s="6" t="n">
        <v>46173</v>
      </c>
      <c r="E213" s="2" t="s">
        <v>60</v>
      </c>
      <c r="F213" s="2" t="s">
        <v>32</v>
      </c>
      <c r="G213" s="2" t="s">
        <v>42</v>
      </c>
      <c r="H213" s="2" t="s">
        <v>52</v>
      </c>
      <c r="I213" s="2" t="s">
        <v>53</v>
      </c>
      <c r="J213" s="2" t="s">
        <v>44</v>
      </c>
      <c r="K213" s="2" t="s">
        <v>45</v>
      </c>
      <c r="L213" s="2"/>
      <c r="M213" s="2" t="str">
        <f aca="false">IF(L213="","",IF(L213=0,"Low",IF(L213=1,"Medium","High")))</f>
        <v/>
      </c>
    </row>
    <row r="214" customFormat="false" ht="15" hidden="false" customHeight="false" outlineLevel="0" collapsed="false">
      <c r="A214" s="2" t="s">
        <v>368</v>
      </c>
      <c r="B214" s="2" t="s">
        <v>369</v>
      </c>
      <c r="C214" s="2" t="s">
        <v>30</v>
      </c>
      <c r="D214" s="6" t="n">
        <v>45443</v>
      </c>
      <c r="E214" s="2" t="s">
        <v>64</v>
      </c>
      <c r="F214" s="2" t="s">
        <v>65</v>
      </c>
      <c r="G214" s="2" t="s">
        <v>65</v>
      </c>
      <c r="H214" s="2" t="s">
        <v>49</v>
      </c>
      <c r="I214" s="2" t="s">
        <v>86</v>
      </c>
      <c r="J214" s="2" t="s">
        <v>36</v>
      </c>
      <c r="K214" s="2" t="s">
        <v>67</v>
      </c>
      <c r="L214" s="2" t="n">
        <v>0</v>
      </c>
      <c r="M214" s="2" t="str">
        <f aca="false">IF(L214="","",IF(L214=0,"Low",IF(L214=1,"Medium","High")))</f>
        <v>Low</v>
      </c>
    </row>
    <row r="215" customFormat="false" ht="15" hidden="false" customHeight="false" outlineLevel="0" collapsed="false">
      <c r="A215" s="2" t="s">
        <v>370</v>
      </c>
      <c r="B215" s="2" t="s">
        <v>369</v>
      </c>
      <c r="C215" s="2" t="s">
        <v>39</v>
      </c>
      <c r="D215" s="6" t="n">
        <v>45808</v>
      </c>
      <c r="E215" s="2" t="s">
        <v>64</v>
      </c>
      <c r="F215" s="2" t="s">
        <v>65</v>
      </c>
      <c r="G215" s="2" t="s">
        <v>65</v>
      </c>
      <c r="H215" s="2" t="s">
        <v>52</v>
      </c>
      <c r="I215" s="2" t="s">
        <v>86</v>
      </c>
      <c r="J215" s="2" t="s">
        <v>36</v>
      </c>
      <c r="K215" s="2" t="s">
        <v>67</v>
      </c>
      <c r="L215" s="2"/>
      <c r="M215" s="2" t="str">
        <f aca="false">IF(L215="","",IF(L215=0,"Low",IF(L215=1,"Medium","High")))</f>
        <v/>
      </c>
    </row>
    <row r="216" customFormat="false" ht="15" hidden="false" customHeight="false" outlineLevel="0" collapsed="false">
      <c r="A216" s="2" t="s">
        <v>371</v>
      </c>
      <c r="B216" s="2" t="s">
        <v>372</v>
      </c>
      <c r="C216" s="2" t="s">
        <v>30</v>
      </c>
      <c r="D216" s="6" t="n">
        <v>45443</v>
      </c>
      <c r="E216" s="2" t="s">
        <v>64</v>
      </c>
      <c r="F216" s="2" t="s">
        <v>65</v>
      </c>
      <c r="G216" s="2" t="s">
        <v>65</v>
      </c>
      <c r="H216" s="2" t="s">
        <v>49</v>
      </c>
      <c r="I216" s="2" t="s">
        <v>86</v>
      </c>
      <c r="J216" s="2" t="s">
        <v>36</v>
      </c>
      <c r="K216" s="2" t="s">
        <v>67</v>
      </c>
      <c r="L216" s="2" t="n">
        <v>0</v>
      </c>
      <c r="M216" s="2" t="str">
        <f aca="false">IF(L216="","",IF(L216=0,"Low",IF(L216=1,"Medium","High")))</f>
        <v>Low</v>
      </c>
    </row>
    <row r="217" customFormat="false" ht="15" hidden="false" customHeight="false" outlineLevel="0" collapsed="false">
      <c r="A217" s="2" t="s">
        <v>373</v>
      </c>
      <c r="B217" s="2" t="s">
        <v>372</v>
      </c>
      <c r="C217" s="2" t="s">
        <v>39</v>
      </c>
      <c r="D217" s="6" t="n">
        <v>45808</v>
      </c>
      <c r="E217" s="2" t="s">
        <v>64</v>
      </c>
      <c r="F217" s="2" t="s">
        <v>65</v>
      </c>
      <c r="G217" s="2" t="s">
        <v>65</v>
      </c>
      <c r="H217" s="2" t="s">
        <v>52</v>
      </c>
      <c r="I217" s="2" t="s">
        <v>86</v>
      </c>
      <c r="J217" s="2" t="s">
        <v>36</v>
      </c>
      <c r="K217" s="2" t="s">
        <v>67</v>
      </c>
      <c r="L217" s="2"/>
      <c r="M217" s="2" t="str">
        <f aca="false">IF(L217="","",IF(L217=0,"Low",IF(L217=1,"Medium","High")))</f>
        <v/>
      </c>
    </row>
    <row r="218" customFormat="false" ht="15" hidden="false" customHeight="false" outlineLevel="0" collapsed="false">
      <c r="A218" s="2" t="s">
        <v>374</v>
      </c>
      <c r="B218" s="2" t="s">
        <v>375</v>
      </c>
      <c r="C218" s="2" t="s">
        <v>30</v>
      </c>
      <c r="D218" s="6" t="n">
        <v>45443</v>
      </c>
      <c r="E218" s="2" t="s">
        <v>40</v>
      </c>
      <c r="F218" s="2" t="s">
        <v>41</v>
      </c>
      <c r="G218" s="2" t="s">
        <v>48</v>
      </c>
      <c r="H218" s="2" t="s">
        <v>52</v>
      </c>
      <c r="I218" s="2" t="s">
        <v>66</v>
      </c>
      <c r="J218" s="2" t="s">
        <v>79</v>
      </c>
      <c r="K218" s="2" t="s">
        <v>67</v>
      </c>
      <c r="L218" s="2"/>
      <c r="M218" s="2" t="str">
        <f aca="false">IF(L218="","",IF(L218=0,"Low",IF(L218=1,"Medium","High")))</f>
        <v/>
      </c>
    </row>
    <row r="219" customFormat="false" ht="15" hidden="false" customHeight="false" outlineLevel="0" collapsed="false">
      <c r="A219" s="2" t="s">
        <v>376</v>
      </c>
      <c r="B219" s="2" t="s">
        <v>377</v>
      </c>
      <c r="C219" s="2" t="s">
        <v>30</v>
      </c>
      <c r="D219" s="6" t="n">
        <v>45443</v>
      </c>
      <c r="E219" s="2" t="s">
        <v>64</v>
      </c>
      <c r="F219" s="2" t="s">
        <v>65</v>
      </c>
      <c r="G219" s="2" t="s">
        <v>65</v>
      </c>
      <c r="H219" s="2" t="s">
        <v>49</v>
      </c>
      <c r="I219" s="2" t="s">
        <v>66</v>
      </c>
      <c r="J219" s="2" t="s">
        <v>36</v>
      </c>
      <c r="K219" s="2" t="s">
        <v>67</v>
      </c>
      <c r="L219" s="2" t="n">
        <v>0</v>
      </c>
      <c r="M219" s="2" t="str">
        <f aca="false">IF(L219="","",IF(L219=0,"Low",IF(L219=1,"Medium","High")))</f>
        <v>Low</v>
      </c>
    </row>
    <row r="220" customFormat="false" ht="15" hidden="false" customHeight="false" outlineLevel="0" collapsed="false">
      <c r="A220" s="2" t="s">
        <v>378</v>
      </c>
      <c r="B220" s="2" t="s">
        <v>377</v>
      </c>
      <c r="C220" s="2" t="s">
        <v>39</v>
      </c>
      <c r="D220" s="6" t="n">
        <v>45808</v>
      </c>
      <c r="E220" s="2" t="s">
        <v>64</v>
      </c>
      <c r="F220" s="2" t="s">
        <v>65</v>
      </c>
      <c r="G220" s="2" t="s">
        <v>65</v>
      </c>
      <c r="H220" s="2" t="s">
        <v>52</v>
      </c>
      <c r="I220" s="2" t="s">
        <v>66</v>
      </c>
      <c r="J220" s="2" t="s">
        <v>36</v>
      </c>
      <c r="K220" s="2" t="s">
        <v>67</v>
      </c>
      <c r="L220" s="2"/>
      <c r="M220" s="2" t="str">
        <f aca="false">IF(L220="","",IF(L220=0,"Low",IF(L220=1,"Medium","High")))</f>
        <v/>
      </c>
    </row>
    <row r="221" customFormat="false" ht="15" hidden="false" customHeight="false" outlineLevel="0" collapsed="false">
      <c r="A221" s="2" t="s">
        <v>379</v>
      </c>
      <c r="B221" s="2" t="s">
        <v>380</v>
      </c>
      <c r="C221" s="2" t="s">
        <v>30</v>
      </c>
      <c r="D221" s="6" t="n">
        <v>45443</v>
      </c>
      <c r="E221" s="2" t="s">
        <v>64</v>
      </c>
      <c r="F221" s="2" t="s">
        <v>65</v>
      </c>
      <c r="G221" s="2" t="s">
        <v>65</v>
      </c>
      <c r="H221" s="2" t="s">
        <v>34</v>
      </c>
      <c r="I221" s="2" t="s">
        <v>53</v>
      </c>
      <c r="J221" s="2" t="s">
        <v>36</v>
      </c>
      <c r="K221" s="2" t="s">
        <v>67</v>
      </c>
      <c r="L221" s="2" t="n">
        <v>0</v>
      </c>
      <c r="M221" s="2" t="str">
        <f aca="false">IF(L221="","",IF(L221=0,"Low",IF(L221=1,"Medium","High")))</f>
        <v>Low</v>
      </c>
    </row>
    <row r="222" customFormat="false" ht="15" hidden="false" customHeight="false" outlineLevel="0" collapsed="false">
      <c r="A222" s="2" t="s">
        <v>381</v>
      </c>
      <c r="B222" s="2" t="s">
        <v>380</v>
      </c>
      <c r="C222" s="2" t="s">
        <v>39</v>
      </c>
      <c r="D222" s="6" t="n">
        <v>45808</v>
      </c>
      <c r="E222" s="2" t="s">
        <v>64</v>
      </c>
      <c r="F222" s="2" t="s">
        <v>65</v>
      </c>
      <c r="G222" s="2" t="s">
        <v>65</v>
      </c>
      <c r="H222" s="2" t="s">
        <v>43</v>
      </c>
      <c r="I222" s="2" t="s">
        <v>53</v>
      </c>
      <c r="J222" s="2" t="s">
        <v>36</v>
      </c>
      <c r="K222" s="2" t="s">
        <v>67</v>
      </c>
      <c r="L222" s="2" t="n">
        <v>0</v>
      </c>
      <c r="M222" s="2" t="str">
        <f aca="false">IF(L222="","",IF(L222=0,"Low",IF(L222=1,"Medium","High")))</f>
        <v>Low</v>
      </c>
    </row>
    <row r="223" customFormat="false" ht="15" hidden="false" customHeight="false" outlineLevel="0" collapsed="false">
      <c r="A223" s="2" t="s">
        <v>382</v>
      </c>
      <c r="B223" s="2" t="s">
        <v>380</v>
      </c>
      <c r="C223" s="2" t="s">
        <v>47</v>
      </c>
      <c r="D223" s="6" t="n">
        <v>46173</v>
      </c>
      <c r="E223" s="2" t="s">
        <v>64</v>
      </c>
      <c r="F223" s="2" t="s">
        <v>65</v>
      </c>
      <c r="G223" s="2" t="s">
        <v>65</v>
      </c>
      <c r="H223" s="2" t="s">
        <v>49</v>
      </c>
      <c r="I223" s="2" t="s">
        <v>53</v>
      </c>
      <c r="J223" s="2" t="s">
        <v>36</v>
      </c>
      <c r="K223" s="2" t="s">
        <v>67</v>
      </c>
      <c r="L223" s="2"/>
      <c r="M223" s="2" t="str">
        <f aca="false">IF(L223="","",IF(L223=0,"Low",IF(L223=1,"Medium","High")))</f>
        <v/>
      </c>
    </row>
    <row r="224" customFormat="false" ht="15" hidden="false" customHeight="false" outlineLevel="0" collapsed="false">
      <c r="A224" s="2" t="s">
        <v>383</v>
      </c>
      <c r="B224" s="2" t="s">
        <v>384</v>
      </c>
      <c r="C224" s="2" t="s">
        <v>30</v>
      </c>
      <c r="D224" s="6" t="n">
        <v>45443</v>
      </c>
      <c r="E224" s="2" t="s">
        <v>64</v>
      </c>
      <c r="F224" s="2" t="s">
        <v>65</v>
      </c>
      <c r="G224" s="2" t="s">
        <v>65</v>
      </c>
      <c r="H224" s="2" t="s">
        <v>52</v>
      </c>
      <c r="I224" s="2" t="s">
        <v>53</v>
      </c>
      <c r="J224" s="2" t="s">
        <v>36</v>
      </c>
      <c r="K224" s="2" t="s">
        <v>67</v>
      </c>
      <c r="L224" s="2"/>
      <c r="M224" s="2" t="str">
        <f aca="false">IF(L224="","",IF(L224=0,"Low",IF(L224=1,"Medium","High")))</f>
        <v/>
      </c>
    </row>
    <row r="225" customFormat="false" ht="15" hidden="false" customHeight="false" outlineLevel="0" collapsed="false">
      <c r="A225" s="2" t="s">
        <v>385</v>
      </c>
      <c r="B225" s="2" t="s">
        <v>386</v>
      </c>
      <c r="C225" s="2" t="s">
        <v>30</v>
      </c>
      <c r="D225" s="6" t="n">
        <v>45443</v>
      </c>
      <c r="E225" s="2" t="s">
        <v>64</v>
      </c>
      <c r="F225" s="2" t="s">
        <v>65</v>
      </c>
      <c r="G225" s="2" t="s">
        <v>65</v>
      </c>
      <c r="H225" s="2" t="s">
        <v>49</v>
      </c>
      <c r="I225" s="2" t="s">
        <v>53</v>
      </c>
      <c r="J225" s="2" t="s">
        <v>36</v>
      </c>
      <c r="K225" s="2" t="s">
        <v>67</v>
      </c>
      <c r="L225" s="2" t="n">
        <v>0</v>
      </c>
      <c r="M225" s="2" t="str">
        <f aca="false">IF(L225="","",IF(L225=0,"Low",IF(L225=1,"Medium","High")))</f>
        <v>Low</v>
      </c>
    </row>
    <row r="226" customFormat="false" ht="15" hidden="false" customHeight="false" outlineLevel="0" collapsed="false">
      <c r="A226" s="2" t="s">
        <v>387</v>
      </c>
      <c r="B226" s="2" t="s">
        <v>386</v>
      </c>
      <c r="C226" s="2" t="s">
        <v>39</v>
      </c>
      <c r="D226" s="6" t="n">
        <v>45808</v>
      </c>
      <c r="E226" s="2" t="s">
        <v>64</v>
      </c>
      <c r="F226" s="2" t="s">
        <v>65</v>
      </c>
      <c r="G226" s="2" t="s">
        <v>65</v>
      </c>
      <c r="H226" s="2" t="s">
        <v>52</v>
      </c>
      <c r="I226" s="2" t="s">
        <v>53</v>
      </c>
      <c r="J226" s="2" t="s">
        <v>36</v>
      </c>
      <c r="K226" s="2" t="s">
        <v>67</v>
      </c>
      <c r="L226" s="2"/>
      <c r="M226" s="2" t="str">
        <f aca="false">IF(L226="","",IF(L226=0,"Low",IF(L226=1,"Medium","High")))</f>
        <v/>
      </c>
    </row>
    <row r="227" customFormat="false" ht="15" hidden="false" customHeight="false" outlineLevel="0" collapsed="false">
      <c r="A227" s="2" t="s">
        <v>388</v>
      </c>
      <c r="B227" s="2" t="s">
        <v>389</v>
      </c>
      <c r="C227" s="2" t="s">
        <v>30</v>
      </c>
      <c r="D227" s="6" t="n">
        <v>45443</v>
      </c>
      <c r="E227" s="2" t="s">
        <v>60</v>
      </c>
      <c r="F227" s="2" t="s">
        <v>41</v>
      </c>
      <c r="G227" s="2" t="s">
        <v>42</v>
      </c>
      <c r="H227" s="2" t="s">
        <v>49</v>
      </c>
      <c r="I227" s="2" t="s">
        <v>66</v>
      </c>
      <c r="J227" s="2" t="s">
        <v>79</v>
      </c>
      <c r="K227" s="2" t="s">
        <v>37</v>
      </c>
      <c r="L227" s="2" t="n">
        <v>4</v>
      </c>
      <c r="M227" s="2" t="str">
        <f aca="false">IF(L227="","",IF(L227=0,"Low",IF(L227=1,"Medium","High")))</f>
        <v>High</v>
      </c>
    </row>
    <row r="228" customFormat="false" ht="15" hidden="false" customHeight="false" outlineLevel="0" collapsed="false">
      <c r="A228" s="2" t="s">
        <v>390</v>
      </c>
      <c r="B228" s="2" t="s">
        <v>389</v>
      </c>
      <c r="C228" s="2" t="s">
        <v>39</v>
      </c>
      <c r="D228" s="6" t="n">
        <v>45808</v>
      </c>
      <c r="E228" s="2" t="s">
        <v>40</v>
      </c>
      <c r="F228" s="2" t="s">
        <v>41</v>
      </c>
      <c r="G228" s="2" t="s">
        <v>48</v>
      </c>
      <c r="H228" s="2" t="s">
        <v>52</v>
      </c>
      <c r="I228" s="2" t="s">
        <v>66</v>
      </c>
      <c r="J228" s="2" t="s">
        <v>44</v>
      </c>
      <c r="K228" s="2" t="s">
        <v>45</v>
      </c>
      <c r="L228" s="2"/>
      <c r="M228" s="2" t="str">
        <f aca="false">IF(L228="","",IF(L228=0,"Low",IF(L228=1,"Medium","High")))</f>
        <v/>
      </c>
    </row>
    <row r="229" customFormat="false" ht="15" hidden="false" customHeight="false" outlineLevel="0" collapsed="false">
      <c r="A229" s="2" t="s">
        <v>391</v>
      </c>
      <c r="B229" s="2" t="s">
        <v>392</v>
      </c>
      <c r="C229" s="2" t="s">
        <v>30</v>
      </c>
      <c r="D229" s="6" t="n">
        <v>45443</v>
      </c>
      <c r="E229" s="2" t="s">
        <v>64</v>
      </c>
      <c r="F229" s="2" t="s">
        <v>65</v>
      </c>
      <c r="G229" s="2" t="s">
        <v>65</v>
      </c>
      <c r="H229" s="2" t="s">
        <v>49</v>
      </c>
      <c r="I229" s="2" t="s">
        <v>86</v>
      </c>
      <c r="J229" s="2" t="s">
        <v>36</v>
      </c>
      <c r="K229" s="2" t="s">
        <v>67</v>
      </c>
      <c r="L229" s="2" t="n">
        <v>0</v>
      </c>
      <c r="M229" s="2" t="str">
        <f aca="false">IF(L229="","",IF(L229=0,"Low",IF(L229=1,"Medium","High")))</f>
        <v>Low</v>
      </c>
    </row>
    <row r="230" customFormat="false" ht="15" hidden="false" customHeight="false" outlineLevel="0" collapsed="false">
      <c r="A230" s="2" t="s">
        <v>393</v>
      </c>
      <c r="B230" s="2" t="s">
        <v>392</v>
      </c>
      <c r="C230" s="2" t="s">
        <v>39</v>
      </c>
      <c r="D230" s="6" t="n">
        <v>45808</v>
      </c>
      <c r="E230" s="2" t="s">
        <v>64</v>
      </c>
      <c r="F230" s="2" t="s">
        <v>65</v>
      </c>
      <c r="G230" s="2" t="s">
        <v>65</v>
      </c>
      <c r="H230" s="2" t="s">
        <v>52</v>
      </c>
      <c r="I230" s="2" t="s">
        <v>86</v>
      </c>
      <c r="J230" s="2" t="s">
        <v>36</v>
      </c>
      <c r="K230" s="2" t="s">
        <v>67</v>
      </c>
      <c r="L230" s="2"/>
      <c r="M230" s="2" t="str">
        <f aca="false">IF(L230="","",IF(L230=0,"Low",IF(L230=1,"Medium","High")))</f>
        <v/>
      </c>
    </row>
    <row r="231" customFormat="false" ht="15" hidden="false" customHeight="false" outlineLevel="0" collapsed="false">
      <c r="A231" s="2" t="s">
        <v>394</v>
      </c>
      <c r="B231" s="2" t="s">
        <v>395</v>
      </c>
      <c r="C231" s="2" t="s">
        <v>30</v>
      </c>
      <c r="D231" s="6" t="n">
        <v>45443</v>
      </c>
      <c r="E231" s="2" t="s">
        <v>60</v>
      </c>
      <c r="F231" s="2" t="s">
        <v>56</v>
      </c>
      <c r="G231" s="2" t="s">
        <v>42</v>
      </c>
      <c r="H231" s="2" t="s">
        <v>52</v>
      </c>
      <c r="I231" s="2" t="s">
        <v>86</v>
      </c>
      <c r="J231" s="2" t="s">
        <v>228</v>
      </c>
      <c r="K231" s="2" t="s">
        <v>37</v>
      </c>
      <c r="L231" s="2"/>
      <c r="M231" s="2" t="str">
        <f aca="false">IF(L231="","",IF(L231=0,"Low",IF(L231=1,"Medium","High")))</f>
        <v/>
      </c>
    </row>
    <row r="232" customFormat="false" ht="15" hidden="false" customHeight="false" outlineLevel="0" collapsed="false">
      <c r="A232" s="2" t="s">
        <v>396</v>
      </c>
      <c r="B232" s="2" t="s">
        <v>397</v>
      </c>
      <c r="C232" s="2" t="s">
        <v>30</v>
      </c>
      <c r="D232" s="6" t="n">
        <v>45443</v>
      </c>
      <c r="E232" s="2" t="s">
        <v>64</v>
      </c>
      <c r="F232" s="2" t="s">
        <v>65</v>
      </c>
      <c r="G232" s="2" t="s">
        <v>65</v>
      </c>
      <c r="H232" s="2" t="s">
        <v>34</v>
      </c>
      <c r="I232" s="2" t="s">
        <v>86</v>
      </c>
      <c r="J232" s="2" t="s">
        <v>36</v>
      </c>
      <c r="K232" s="2" t="s">
        <v>67</v>
      </c>
      <c r="L232" s="2" t="n">
        <v>0</v>
      </c>
      <c r="M232" s="2" t="str">
        <f aca="false">IF(L232="","",IF(L232=0,"Low",IF(L232=1,"Medium","High")))</f>
        <v>Low</v>
      </c>
    </row>
    <row r="233" customFormat="false" ht="15" hidden="false" customHeight="false" outlineLevel="0" collapsed="false">
      <c r="A233" s="2" t="s">
        <v>398</v>
      </c>
      <c r="B233" s="2" t="s">
        <v>397</v>
      </c>
      <c r="C233" s="2" t="s">
        <v>39</v>
      </c>
      <c r="D233" s="6" t="n">
        <v>45808</v>
      </c>
      <c r="E233" s="2" t="s">
        <v>64</v>
      </c>
      <c r="F233" s="2" t="s">
        <v>65</v>
      </c>
      <c r="G233" s="2" t="s">
        <v>65</v>
      </c>
      <c r="H233" s="2" t="s">
        <v>43</v>
      </c>
      <c r="I233" s="2" t="s">
        <v>86</v>
      </c>
      <c r="J233" s="2" t="s">
        <v>36</v>
      </c>
      <c r="K233" s="2" t="s">
        <v>67</v>
      </c>
      <c r="L233" s="2" t="n">
        <v>0</v>
      </c>
      <c r="M233" s="2" t="str">
        <f aca="false">IF(L233="","",IF(L233=0,"Low",IF(L233=1,"Medium","High")))</f>
        <v>Low</v>
      </c>
    </row>
    <row r="234" customFormat="false" ht="15" hidden="false" customHeight="false" outlineLevel="0" collapsed="false">
      <c r="A234" s="2" t="s">
        <v>399</v>
      </c>
      <c r="B234" s="2" t="s">
        <v>397</v>
      </c>
      <c r="C234" s="2" t="s">
        <v>47</v>
      </c>
      <c r="D234" s="6" t="n">
        <v>46173</v>
      </c>
      <c r="E234" s="2" t="s">
        <v>64</v>
      </c>
      <c r="F234" s="2" t="s">
        <v>65</v>
      </c>
      <c r="G234" s="2" t="s">
        <v>65</v>
      </c>
      <c r="H234" s="2" t="s">
        <v>49</v>
      </c>
      <c r="I234" s="2" t="s">
        <v>86</v>
      </c>
      <c r="J234" s="2" t="s">
        <v>36</v>
      </c>
      <c r="K234" s="2" t="s">
        <v>67</v>
      </c>
      <c r="L234" s="2"/>
      <c r="M234" s="2" t="str">
        <f aca="false">IF(L234="","",IF(L234=0,"Low",IF(L234=1,"Medium","High")))</f>
        <v/>
      </c>
    </row>
    <row r="235" customFormat="false" ht="15" hidden="false" customHeight="false" outlineLevel="0" collapsed="false">
      <c r="A235" s="2" t="s">
        <v>400</v>
      </c>
      <c r="B235" s="2" t="s">
        <v>401</v>
      </c>
      <c r="C235" s="2" t="s">
        <v>30</v>
      </c>
      <c r="D235" s="6" t="n">
        <v>45443</v>
      </c>
      <c r="E235" s="2" t="s">
        <v>40</v>
      </c>
      <c r="F235" s="2" t="s">
        <v>41</v>
      </c>
      <c r="G235" s="2" t="s">
        <v>48</v>
      </c>
      <c r="H235" s="2" t="s">
        <v>49</v>
      </c>
      <c r="I235" s="2" t="s">
        <v>86</v>
      </c>
      <c r="J235" s="2" t="s">
        <v>79</v>
      </c>
      <c r="K235" s="2" t="s">
        <v>67</v>
      </c>
      <c r="L235" s="2" t="n">
        <v>2</v>
      </c>
      <c r="M235" s="2" t="str">
        <f aca="false">IF(L235="","",IF(L235=0,"Low",IF(L235=1,"Medium","High")))</f>
        <v>High</v>
      </c>
    </row>
    <row r="236" customFormat="false" ht="15" hidden="false" customHeight="false" outlineLevel="0" collapsed="false">
      <c r="A236" s="2" t="s">
        <v>402</v>
      </c>
      <c r="B236" s="2" t="s">
        <v>401</v>
      </c>
      <c r="C236" s="2" t="s">
        <v>39</v>
      </c>
      <c r="D236" s="6" t="n">
        <v>45808</v>
      </c>
      <c r="E236" s="2" t="s">
        <v>40</v>
      </c>
      <c r="F236" s="2" t="s">
        <v>41</v>
      </c>
      <c r="G236" s="2" t="s">
        <v>110</v>
      </c>
      <c r="H236" s="2" t="s">
        <v>52</v>
      </c>
      <c r="I236" s="2" t="s">
        <v>86</v>
      </c>
      <c r="J236" s="2" t="s">
        <v>44</v>
      </c>
      <c r="K236" s="2" t="s">
        <v>45</v>
      </c>
      <c r="L236" s="2"/>
      <c r="M236" s="2" t="str">
        <f aca="false">IF(L236="","",IF(L236=0,"Low",IF(L236=1,"Medium","High")))</f>
        <v/>
      </c>
    </row>
    <row r="237" customFormat="false" ht="15" hidden="false" customHeight="false" outlineLevel="0" collapsed="false">
      <c r="A237" s="2" t="s">
        <v>403</v>
      </c>
      <c r="B237" s="2" t="s">
        <v>404</v>
      </c>
      <c r="C237" s="2" t="s">
        <v>30</v>
      </c>
      <c r="D237" s="6" t="n">
        <v>45443</v>
      </c>
      <c r="E237" s="2" t="s">
        <v>64</v>
      </c>
      <c r="F237" s="2" t="s">
        <v>65</v>
      </c>
      <c r="G237" s="2" t="s">
        <v>65</v>
      </c>
      <c r="H237" s="2" t="s">
        <v>49</v>
      </c>
      <c r="I237" s="2" t="s">
        <v>86</v>
      </c>
      <c r="J237" s="2" t="s">
        <v>36</v>
      </c>
      <c r="K237" s="2" t="s">
        <v>67</v>
      </c>
      <c r="L237" s="2" t="n">
        <v>2</v>
      </c>
      <c r="M237" s="2" t="str">
        <f aca="false">IF(L237="","",IF(L237=0,"Low",IF(L237=1,"Medium","High")))</f>
        <v>High</v>
      </c>
    </row>
    <row r="238" customFormat="false" ht="15" hidden="false" customHeight="false" outlineLevel="0" collapsed="false">
      <c r="A238" s="2" t="s">
        <v>405</v>
      </c>
      <c r="B238" s="2" t="s">
        <v>404</v>
      </c>
      <c r="C238" s="2" t="s">
        <v>39</v>
      </c>
      <c r="D238" s="6" t="n">
        <v>45808</v>
      </c>
      <c r="E238" s="2" t="s">
        <v>60</v>
      </c>
      <c r="F238" s="2" t="s">
        <v>41</v>
      </c>
      <c r="G238" s="2" t="s">
        <v>42</v>
      </c>
      <c r="H238" s="2" t="s">
        <v>52</v>
      </c>
      <c r="I238" s="2" t="s">
        <v>86</v>
      </c>
      <c r="J238" s="2" t="s">
        <v>228</v>
      </c>
      <c r="K238" s="2" t="s">
        <v>37</v>
      </c>
      <c r="L238" s="2"/>
      <c r="M238" s="2" t="str">
        <f aca="false">IF(L238="","",IF(L238=0,"Low",IF(L238=1,"Medium","High")))</f>
        <v/>
      </c>
    </row>
    <row r="239" customFormat="false" ht="15" hidden="false" customHeight="false" outlineLevel="0" collapsed="false">
      <c r="A239" s="2" t="s">
        <v>406</v>
      </c>
      <c r="B239" s="2" t="s">
        <v>407</v>
      </c>
      <c r="C239" s="2" t="s">
        <v>30</v>
      </c>
      <c r="D239" s="6" t="n">
        <v>45443</v>
      </c>
      <c r="E239" s="2" t="s">
        <v>64</v>
      </c>
      <c r="F239" s="2" t="s">
        <v>65</v>
      </c>
      <c r="G239" s="2" t="s">
        <v>65</v>
      </c>
      <c r="H239" s="2" t="s">
        <v>43</v>
      </c>
      <c r="I239" s="2" t="s">
        <v>35</v>
      </c>
      <c r="J239" s="2" t="s">
        <v>36</v>
      </c>
      <c r="K239" s="2" t="s">
        <v>67</v>
      </c>
      <c r="L239" s="2" t="n">
        <v>0</v>
      </c>
      <c r="M239" s="2" t="str">
        <f aca="false">IF(L239="","",IF(L239=0,"Low",IF(L239=1,"Medium","High")))</f>
        <v>Low</v>
      </c>
    </row>
    <row r="240" customFormat="false" ht="15" hidden="false" customHeight="false" outlineLevel="0" collapsed="false">
      <c r="A240" s="2" t="s">
        <v>408</v>
      </c>
      <c r="B240" s="2" t="s">
        <v>407</v>
      </c>
      <c r="C240" s="2" t="s">
        <v>39</v>
      </c>
      <c r="D240" s="6" t="n">
        <v>45808</v>
      </c>
      <c r="E240" s="2" t="s">
        <v>64</v>
      </c>
      <c r="F240" s="2" t="s">
        <v>65</v>
      </c>
      <c r="G240" s="2" t="s">
        <v>65</v>
      </c>
      <c r="H240" s="2" t="s">
        <v>49</v>
      </c>
      <c r="I240" s="2" t="s">
        <v>35</v>
      </c>
      <c r="J240" s="2" t="s">
        <v>36</v>
      </c>
      <c r="K240" s="2" t="s">
        <v>67</v>
      </c>
      <c r="L240" s="2" t="n">
        <v>1</v>
      </c>
      <c r="M240" s="2" t="str">
        <f aca="false">IF(L240="","",IF(L240=0,"Low",IF(L240=1,"Medium","High")))</f>
        <v>Medium</v>
      </c>
    </row>
    <row r="241" customFormat="false" ht="15" hidden="false" customHeight="false" outlineLevel="0" collapsed="false">
      <c r="A241" s="2" t="s">
        <v>409</v>
      </c>
      <c r="B241" s="2" t="s">
        <v>407</v>
      </c>
      <c r="C241" s="2" t="s">
        <v>47</v>
      </c>
      <c r="D241" s="6" t="n">
        <v>46173</v>
      </c>
      <c r="E241" s="2" t="s">
        <v>31</v>
      </c>
      <c r="F241" s="2" t="s">
        <v>56</v>
      </c>
      <c r="G241" s="2" t="s">
        <v>48</v>
      </c>
      <c r="H241" s="2" t="s">
        <v>52</v>
      </c>
      <c r="I241" s="2" t="s">
        <v>35</v>
      </c>
      <c r="J241" s="2" t="s">
        <v>36</v>
      </c>
      <c r="K241" s="2" t="s">
        <v>37</v>
      </c>
      <c r="L241" s="2"/>
      <c r="M241" s="2" t="str">
        <f aca="false">IF(L241="","",IF(L241=0,"Low",IF(L241=1,"Medium","High")))</f>
        <v/>
      </c>
    </row>
    <row r="242" customFormat="false" ht="15" hidden="false" customHeight="false" outlineLevel="0" collapsed="false">
      <c r="A242" s="2" t="s">
        <v>410</v>
      </c>
      <c r="B242" s="2" t="s">
        <v>411</v>
      </c>
      <c r="C242" s="2" t="s">
        <v>30</v>
      </c>
      <c r="D242" s="6" t="n">
        <v>45443</v>
      </c>
      <c r="E242" s="2" t="s">
        <v>40</v>
      </c>
      <c r="F242" s="2" t="s">
        <v>41</v>
      </c>
      <c r="G242" s="2" t="s">
        <v>48</v>
      </c>
      <c r="H242" s="2" t="s">
        <v>49</v>
      </c>
      <c r="I242" s="2" t="s">
        <v>86</v>
      </c>
      <c r="J242" s="2" t="s">
        <v>79</v>
      </c>
      <c r="K242" s="2" t="s">
        <v>37</v>
      </c>
      <c r="L242" s="2" t="n">
        <v>4</v>
      </c>
      <c r="M242" s="2" t="str">
        <f aca="false">IF(L242="","",IF(L242=0,"Low",IF(L242=1,"Medium","High")))</f>
        <v>High</v>
      </c>
    </row>
    <row r="243" customFormat="false" ht="15" hidden="false" customHeight="false" outlineLevel="0" collapsed="false">
      <c r="A243" s="2" t="s">
        <v>412</v>
      </c>
      <c r="B243" s="2" t="s">
        <v>411</v>
      </c>
      <c r="C243" s="2" t="s">
        <v>39</v>
      </c>
      <c r="D243" s="6" t="n">
        <v>45808</v>
      </c>
      <c r="E243" s="2" t="s">
        <v>40</v>
      </c>
      <c r="F243" s="2" t="s">
        <v>41</v>
      </c>
      <c r="G243" s="2" t="s">
        <v>48</v>
      </c>
      <c r="H243" s="2" t="s">
        <v>52</v>
      </c>
      <c r="I243" s="2" t="s">
        <v>86</v>
      </c>
      <c r="J243" s="2" t="s">
        <v>79</v>
      </c>
      <c r="K243" s="2" t="s">
        <v>45</v>
      </c>
      <c r="L243" s="2"/>
      <c r="M243" s="2" t="str">
        <f aca="false">IF(L243="","",IF(L243=0,"Low",IF(L243=1,"Medium","High")))</f>
        <v/>
      </c>
    </row>
    <row r="244" customFormat="false" ht="15" hidden="false" customHeight="false" outlineLevel="0" collapsed="false">
      <c r="A244" s="2" t="s">
        <v>413</v>
      </c>
      <c r="B244" s="2" t="s">
        <v>414</v>
      </c>
      <c r="C244" s="2" t="s">
        <v>30</v>
      </c>
      <c r="D244" s="6" t="n">
        <v>45443</v>
      </c>
      <c r="E244" s="2" t="s">
        <v>64</v>
      </c>
      <c r="F244" s="2" t="s">
        <v>65</v>
      </c>
      <c r="G244" s="2" t="s">
        <v>65</v>
      </c>
      <c r="H244" s="2" t="s">
        <v>49</v>
      </c>
      <c r="I244" s="2" t="s">
        <v>35</v>
      </c>
      <c r="J244" s="2" t="s">
        <v>36</v>
      </c>
      <c r="K244" s="2" t="s">
        <v>67</v>
      </c>
      <c r="L244" s="2" t="n">
        <v>0</v>
      </c>
      <c r="M244" s="2" t="str">
        <f aca="false">IF(L244="","",IF(L244=0,"Low",IF(L244=1,"Medium","High")))</f>
        <v>Low</v>
      </c>
    </row>
    <row r="245" customFormat="false" ht="15" hidden="false" customHeight="false" outlineLevel="0" collapsed="false">
      <c r="A245" s="2" t="s">
        <v>415</v>
      </c>
      <c r="B245" s="2" t="s">
        <v>414</v>
      </c>
      <c r="C245" s="2" t="s">
        <v>39</v>
      </c>
      <c r="D245" s="6" t="n">
        <v>45808</v>
      </c>
      <c r="E245" s="2" t="s">
        <v>64</v>
      </c>
      <c r="F245" s="2" t="s">
        <v>65</v>
      </c>
      <c r="G245" s="2" t="s">
        <v>65</v>
      </c>
      <c r="H245" s="2" t="s">
        <v>52</v>
      </c>
      <c r="I245" s="2" t="s">
        <v>35</v>
      </c>
      <c r="J245" s="2" t="s">
        <v>36</v>
      </c>
      <c r="K245" s="2" t="s">
        <v>67</v>
      </c>
      <c r="L245" s="2"/>
      <c r="M245" s="2" t="str">
        <f aca="false">IF(L245="","",IF(L245=0,"Low",IF(L245=1,"Medium","High")))</f>
        <v/>
      </c>
    </row>
    <row r="246" customFormat="false" ht="15" hidden="false" customHeight="false" outlineLevel="0" collapsed="false">
      <c r="A246" s="2" t="s">
        <v>416</v>
      </c>
      <c r="B246" s="2" t="s">
        <v>417</v>
      </c>
      <c r="C246" s="2" t="s">
        <v>30</v>
      </c>
      <c r="D246" s="6" t="n">
        <v>45443</v>
      </c>
      <c r="E246" s="2" t="s">
        <v>31</v>
      </c>
      <c r="F246" s="2" t="s">
        <v>56</v>
      </c>
      <c r="G246" s="2" t="s">
        <v>48</v>
      </c>
      <c r="H246" s="2" t="s">
        <v>43</v>
      </c>
      <c r="I246" s="2" t="s">
        <v>35</v>
      </c>
      <c r="J246" s="2" t="s">
        <v>36</v>
      </c>
      <c r="K246" s="2" t="s">
        <v>45</v>
      </c>
      <c r="L246" s="2" t="n">
        <v>3</v>
      </c>
      <c r="M246" s="2" t="str">
        <f aca="false">IF(L246="","",IF(L246=0,"Low",IF(L246=1,"Medium","High")))</f>
        <v>High</v>
      </c>
    </row>
    <row r="247" customFormat="false" ht="15" hidden="false" customHeight="false" outlineLevel="0" collapsed="false">
      <c r="A247" s="2" t="s">
        <v>418</v>
      </c>
      <c r="B247" s="2" t="s">
        <v>417</v>
      </c>
      <c r="C247" s="2" t="s">
        <v>39</v>
      </c>
      <c r="D247" s="6" t="n">
        <v>45808</v>
      </c>
      <c r="E247" s="2" t="s">
        <v>40</v>
      </c>
      <c r="F247" s="2" t="s">
        <v>41</v>
      </c>
      <c r="G247" s="2" t="s">
        <v>42</v>
      </c>
      <c r="H247" s="2" t="s">
        <v>49</v>
      </c>
      <c r="I247" s="2" t="s">
        <v>35</v>
      </c>
      <c r="J247" s="2" t="s">
        <v>79</v>
      </c>
      <c r="K247" s="2" t="s">
        <v>57</v>
      </c>
      <c r="L247" s="2" t="n">
        <v>1</v>
      </c>
      <c r="M247" s="2" t="str">
        <f aca="false">IF(L247="","",IF(L247=0,"Low",IF(L247=1,"Medium","High")))</f>
        <v>Medium</v>
      </c>
    </row>
    <row r="248" customFormat="false" ht="15" hidden="false" customHeight="false" outlineLevel="0" collapsed="false">
      <c r="A248" s="2" t="s">
        <v>419</v>
      </c>
      <c r="B248" s="2" t="s">
        <v>417</v>
      </c>
      <c r="C248" s="2" t="s">
        <v>47</v>
      </c>
      <c r="D248" s="6" t="n">
        <v>46173</v>
      </c>
      <c r="E248" s="2" t="s">
        <v>40</v>
      </c>
      <c r="F248" s="2" t="s">
        <v>41</v>
      </c>
      <c r="G248" s="2" t="s">
        <v>33</v>
      </c>
      <c r="H248" s="2" t="s">
        <v>52</v>
      </c>
      <c r="I248" s="2" t="s">
        <v>35</v>
      </c>
      <c r="J248" s="2" t="s">
        <v>44</v>
      </c>
      <c r="K248" s="2" t="s">
        <v>45</v>
      </c>
      <c r="L248" s="2"/>
      <c r="M248" s="2" t="str">
        <f aca="false">IF(L248="","",IF(L248=0,"Low",IF(L248=1,"Medium","High")))</f>
        <v/>
      </c>
    </row>
    <row r="249" customFormat="false" ht="15" hidden="false" customHeight="false" outlineLevel="0" collapsed="false">
      <c r="A249" s="2" t="s">
        <v>420</v>
      </c>
      <c r="B249" s="2" t="s">
        <v>421</v>
      </c>
      <c r="C249" s="2" t="s">
        <v>30</v>
      </c>
      <c r="D249" s="6" t="n">
        <v>45443</v>
      </c>
      <c r="E249" s="2" t="s">
        <v>31</v>
      </c>
      <c r="F249" s="2" t="s">
        <v>32</v>
      </c>
      <c r="G249" s="2" t="s">
        <v>33</v>
      </c>
      <c r="H249" s="2" t="s">
        <v>34</v>
      </c>
      <c r="I249" s="2" t="s">
        <v>86</v>
      </c>
      <c r="J249" s="2" t="s">
        <v>36</v>
      </c>
      <c r="K249" s="2" t="s">
        <v>37</v>
      </c>
      <c r="L249" s="2" t="n">
        <v>0</v>
      </c>
      <c r="M249" s="2" t="str">
        <f aca="false">IF(L249="","",IF(L249=0,"Low",IF(L249=1,"Medium","High")))</f>
        <v>Low</v>
      </c>
    </row>
    <row r="250" customFormat="false" ht="15" hidden="false" customHeight="false" outlineLevel="0" collapsed="false">
      <c r="A250" s="2" t="s">
        <v>422</v>
      </c>
      <c r="B250" s="2" t="s">
        <v>421</v>
      </c>
      <c r="C250" s="2" t="s">
        <v>39</v>
      </c>
      <c r="D250" s="6" t="n">
        <v>45808</v>
      </c>
      <c r="E250" s="2" t="s">
        <v>31</v>
      </c>
      <c r="F250" s="2" t="s">
        <v>32</v>
      </c>
      <c r="G250" s="2" t="s">
        <v>33</v>
      </c>
      <c r="H250" s="2" t="s">
        <v>43</v>
      </c>
      <c r="I250" s="2" t="s">
        <v>86</v>
      </c>
      <c r="J250" s="2" t="s">
        <v>36</v>
      </c>
      <c r="K250" s="2" t="s">
        <v>37</v>
      </c>
      <c r="L250" s="2" t="n">
        <v>2</v>
      </c>
      <c r="M250" s="2" t="str">
        <f aca="false">IF(L250="","",IF(L250=0,"Low",IF(L250=1,"Medium","High")))</f>
        <v>High</v>
      </c>
    </row>
    <row r="251" customFormat="false" ht="15" hidden="false" customHeight="false" outlineLevel="0" collapsed="false">
      <c r="A251" s="2" t="s">
        <v>423</v>
      </c>
      <c r="B251" s="2" t="s">
        <v>421</v>
      </c>
      <c r="C251" s="2" t="s">
        <v>47</v>
      </c>
      <c r="D251" s="6" t="n">
        <v>46173</v>
      </c>
      <c r="E251" s="2" t="s">
        <v>60</v>
      </c>
      <c r="F251" s="2" t="s">
        <v>41</v>
      </c>
      <c r="G251" s="2" t="s">
        <v>42</v>
      </c>
      <c r="H251" s="2" t="s">
        <v>49</v>
      </c>
      <c r="I251" s="2" t="s">
        <v>86</v>
      </c>
      <c r="J251" s="2" t="s">
        <v>44</v>
      </c>
      <c r="K251" s="2" t="s">
        <v>45</v>
      </c>
      <c r="L251" s="2"/>
      <c r="M251" s="2" t="str">
        <f aca="false">IF(L251="","",IF(L251=0,"Low",IF(L251=1,"Medium","High")))</f>
        <v/>
      </c>
    </row>
    <row r="252" customFormat="false" ht="15" hidden="false" customHeight="false" outlineLevel="0" collapsed="false">
      <c r="A252" s="2" t="s">
        <v>424</v>
      </c>
      <c r="B252" s="2" t="s">
        <v>425</v>
      </c>
      <c r="C252" s="2" t="s">
        <v>30</v>
      </c>
      <c r="D252" s="6" t="n">
        <v>45443</v>
      </c>
      <c r="E252" s="2" t="s">
        <v>64</v>
      </c>
      <c r="F252" s="2" t="s">
        <v>65</v>
      </c>
      <c r="G252" s="2" t="s">
        <v>65</v>
      </c>
      <c r="H252" s="2" t="s">
        <v>34</v>
      </c>
      <c r="I252" s="2" t="s">
        <v>66</v>
      </c>
      <c r="J252" s="2" t="s">
        <v>36</v>
      </c>
      <c r="K252" s="2" t="s">
        <v>67</v>
      </c>
      <c r="L252" s="2" t="n">
        <v>0</v>
      </c>
      <c r="M252" s="2" t="str">
        <f aca="false">IF(L252="","",IF(L252=0,"Low",IF(L252=1,"Medium","High")))</f>
        <v>Low</v>
      </c>
    </row>
    <row r="253" customFormat="false" ht="15" hidden="false" customHeight="false" outlineLevel="0" collapsed="false">
      <c r="A253" s="2" t="s">
        <v>426</v>
      </c>
      <c r="B253" s="2" t="s">
        <v>425</v>
      </c>
      <c r="C253" s="2" t="s">
        <v>39</v>
      </c>
      <c r="D253" s="6" t="n">
        <v>45808</v>
      </c>
      <c r="E253" s="2" t="s">
        <v>64</v>
      </c>
      <c r="F253" s="2" t="s">
        <v>65</v>
      </c>
      <c r="G253" s="2" t="s">
        <v>65</v>
      </c>
      <c r="H253" s="2" t="s">
        <v>43</v>
      </c>
      <c r="I253" s="2" t="s">
        <v>66</v>
      </c>
      <c r="J253" s="2" t="s">
        <v>36</v>
      </c>
      <c r="K253" s="2" t="s">
        <v>67</v>
      </c>
      <c r="L253" s="2" t="n">
        <v>0</v>
      </c>
      <c r="M253" s="2" t="str">
        <f aca="false">IF(L253="","",IF(L253=0,"Low",IF(L253=1,"Medium","High")))</f>
        <v>Low</v>
      </c>
    </row>
    <row r="254" customFormat="false" ht="15" hidden="false" customHeight="false" outlineLevel="0" collapsed="false">
      <c r="A254" s="2" t="s">
        <v>427</v>
      </c>
      <c r="B254" s="2" t="s">
        <v>425</v>
      </c>
      <c r="C254" s="2" t="s">
        <v>47</v>
      </c>
      <c r="D254" s="6" t="n">
        <v>46173</v>
      </c>
      <c r="E254" s="2" t="s">
        <v>64</v>
      </c>
      <c r="F254" s="2" t="s">
        <v>65</v>
      </c>
      <c r="G254" s="2" t="s">
        <v>65</v>
      </c>
      <c r="H254" s="2" t="s">
        <v>49</v>
      </c>
      <c r="I254" s="2" t="s">
        <v>66</v>
      </c>
      <c r="J254" s="2" t="s">
        <v>36</v>
      </c>
      <c r="K254" s="2" t="s">
        <v>67</v>
      </c>
      <c r="L254" s="2"/>
      <c r="M254" s="2" t="str">
        <f aca="false">IF(L254="","",IF(L254=0,"Low",IF(L254=1,"Medium","High")))</f>
        <v/>
      </c>
    </row>
    <row r="255" customFormat="false" ht="15" hidden="false" customHeight="false" outlineLevel="0" collapsed="false">
      <c r="A255" s="2" t="s">
        <v>428</v>
      </c>
      <c r="B255" s="2" t="s">
        <v>429</v>
      </c>
      <c r="C255" s="2" t="s">
        <v>30</v>
      </c>
      <c r="D255" s="6" t="n">
        <v>45443</v>
      </c>
      <c r="E255" s="2" t="s">
        <v>64</v>
      </c>
      <c r="F255" s="2" t="s">
        <v>65</v>
      </c>
      <c r="G255" s="2" t="s">
        <v>65</v>
      </c>
      <c r="H255" s="2" t="s">
        <v>49</v>
      </c>
      <c r="I255" s="2" t="s">
        <v>86</v>
      </c>
      <c r="J255" s="2" t="s">
        <v>36</v>
      </c>
      <c r="K255" s="2" t="s">
        <v>67</v>
      </c>
      <c r="L255" s="2" t="n">
        <v>1</v>
      </c>
      <c r="M255" s="2" t="str">
        <f aca="false">IF(L255="","",IF(L255=0,"Low",IF(L255=1,"Medium","High")))</f>
        <v>Medium</v>
      </c>
    </row>
    <row r="256" customFormat="false" ht="15" hidden="false" customHeight="false" outlineLevel="0" collapsed="false">
      <c r="A256" s="2" t="s">
        <v>430</v>
      </c>
      <c r="B256" s="2" t="s">
        <v>429</v>
      </c>
      <c r="C256" s="2" t="s">
        <v>39</v>
      </c>
      <c r="D256" s="6" t="n">
        <v>45808</v>
      </c>
      <c r="E256" s="2" t="s">
        <v>31</v>
      </c>
      <c r="F256" s="2" t="s">
        <v>32</v>
      </c>
      <c r="G256" s="2" t="s">
        <v>48</v>
      </c>
      <c r="H256" s="2" t="s">
        <v>52</v>
      </c>
      <c r="I256" s="2" t="s">
        <v>86</v>
      </c>
      <c r="J256" s="2" t="s">
        <v>36</v>
      </c>
      <c r="K256" s="2" t="s">
        <v>45</v>
      </c>
      <c r="L256" s="2"/>
      <c r="M256" s="2" t="str">
        <f aca="false">IF(L256="","",IF(L256=0,"Low",IF(L256=1,"Medium","High")))</f>
        <v/>
      </c>
    </row>
    <row r="257" customFormat="false" ht="15" hidden="false" customHeight="false" outlineLevel="0" collapsed="false">
      <c r="A257" s="2" t="s">
        <v>431</v>
      </c>
      <c r="B257" s="2" t="s">
        <v>432</v>
      </c>
      <c r="C257" s="2" t="s">
        <v>30</v>
      </c>
      <c r="D257" s="6" t="n">
        <v>45443</v>
      </c>
      <c r="E257" s="2" t="s">
        <v>64</v>
      </c>
      <c r="F257" s="2" t="s">
        <v>65</v>
      </c>
      <c r="G257" s="2" t="s">
        <v>65</v>
      </c>
      <c r="H257" s="2" t="s">
        <v>34</v>
      </c>
      <c r="I257" s="2" t="s">
        <v>86</v>
      </c>
      <c r="J257" s="2" t="s">
        <v>36</v>
      </c>
      <c r="K257" s="2" t="s">
        <v>67</v>
      </c>
      <c r="L257" s="2" t="n">
        <v>0</v>
      </c>
      <c r="M257" s="2" t="str">
        <f aca="false">IF(L257="","",IF(L257=0,"Low",IF(L257=1,"Medium","High")))</f>
        <v>Low</v>
      </c>
    </row>
    <row r="258" customFormat="false" ht="15" hidden="false" customHeight="false" outlineLevel="0" collapsed="false">
      <c r="A258" s="2" t="s">
        <v>433</v>
      </c>
      <c r="B258" s="2" t="s">
        <v>432</v>
      </c>
      <c r="C258" s="2" t="s">
        <v>39</v>
      </c>
      <c r="D258" s="6" t="n">
        <v>45808</v>
      </c>
      <c r="E258" s="2" t="s">
        <v>64</v>
      </c>
      <c r="F258" s="2" t="s">
        <v>65</v>
      </c>
      <c r="G258" s="2" t="s">
        <v>65</v>
      </c>
      <c r="H258" s="2" t="s">
        <v>43</v>
      </c>
      <c r="I258" s="2" t="s">
        <v>86</v>
      </c>
      <c r="J258" s="2" t="s">
        <v>36</v>
      </c>
      <c r="K258" s="2" t="s">
        <v>67</v>
      </c>
      <c r="L258" s="2" t="n">
        <v>0</v>
      </c>
      <c r="M258" s="2" t="str">
        <f aca="false">IF(L258="","",IF(L258=0,"Low",IF(L258=1,"Medium","High")))</f>
        <v>Low</v>
      </c>
    </row>
    <row r="259" customFormat="false" ht="15" hidden="false" customHeight="false" outlineLevel="0" collapsed="false">
      <c r="A259" s="2" t="s">
        <v>434</v>
      </c>
      <c r="B259" s="2" t="s">
        <v>432</v>
      </c>
      <c r="C259" s="2" t="s">
        <v>47</v>
      </c>
      <c r="D259" s="6" t="n">
        <v>46173</v>
      </c>
      <c r="E259" s="2" t="s">
        <v>64</v>
      </c>
      <c r="F259" s="2" t="s">
        <v>65</v>
      </c>
      <c r="G259" s="2" t="s">
        <v>65</v>
      </c>
      <c r="H259" s="2" t="s">
        <v>49</v>
      </c>
      <c r="I259" s="2" t="s">
        <v>86</v>
      </c>
      <c r="J259" s="2" t="s">
        <v>36</v>
      </c>
      <c r="K259" s="2" t="s">
        <v>67</v>
      </c>
      <c r="L259" s="2"/>
      <c r="M259" s="2" t="str">
        <f aca="false">IF(L259="","",IF(L259=0,"Low",IF(L259=1,"Medium","High")))</f>
        <v/>
      </c>
    </row>
    <row r="260" customFormat="false" ht="15" hidden="false" customHeight="false" outlineLevel="0" collapsed="false">
      <c r="A260" s="2" t="s">
        <v>435</v>
      </c>
      <c r="B260" s="2" t="s">
        <v>436</v>
      </c>
      <c r="C260" s="2" t="s">
        <v>30</v>
      </c>
      <c r="D260" s="6" t="n">
        <v>45443</v>
      </c>
      <c r="E260" s="2" t="s">
        <v>31</v>
      </c>
      <c r="F260" s="2" t="s">
        <v>56</v>
      </c>
      <c r="G260" s="2" t="s">
        <v>33</v>
      </c>
      <c r="H260" s="2" t="s">
        <v>52</v>
      </c>
      <c r="I260" s="2" t="s">
        <v>53</v>
      </c>
      <c r="J260" s="2" t="s">
        <v>36</v>
      </c>
      <c r="K260" s="2" t="s">
        <v>45</v>
      </c>
      <c r="L260" s="2"/>
      <c r="M260" s="2" t="str">
        <f aca="false">IF(L260="","",IF(L260=0,"Low",IF(L260=1,"Medium","High")))</f>
        <v/>
      </c>
    </row>
    <row r="261" customFormat="false" ht="15" hidden="false" customHeight="false" outlineLevel="0" collapsed="false">
      <c r="A261" s="2" t="s">
        <v>437</v>
      </c>
      <c r="B261" s="2" t="s">
        <v>438</v>
      </c>
      <c r="C261" s="2" t="s">
        <v>30</v>
      </c>
      <c r="D261" s="6" t="n">
        <v>45443</v>
      </c>
      <c r="E261" s="2" t="s">
        <v>64</v>
      </c>
      <c r="F261" s="2" t="s">
        <v>65</v>
      </c>
      <c r="G261" s="2" t="s">
        <v>65</v>
      </c>
      <c r="H261" s="2" t="s">
        <v>52</v>
      </c>
      <c r="I261" s="2" t="s">
        <v>86</v>
      </c>
      <c r="J261" s="2" t="s">
        <v>36</v>
      </c>
      <c r="K261" s="2" t="s">
        <v>67</v>
      </c>
      <c r="L261" s="2"/>
      <c r="M261" s="2" t="str">
        <f aca="false">IF(L261="","",IF(L261=0,"Low",IF(L261=1,"Medium","High")))</f>
        <v/>
      </c>
    </row>
    <row r="262" customFormat="false" ht="15" hidden="false" customHeight="false" outlineLevel="0" collapsed="false">
      <c r="A262" s="2" t="s">
        <v>439</v>
      </c>
      <c r="B262" s="2" t="s">
        <v>440</v>
      </c>
      <c r="C262" s="2" t="s">
        <v>30</v>
      </c>
      <c r="D262" s="6" t="n">
        <v>45443</v>
      </c>
      <c r="E262" s="2" t="s">
        <v>31</v>
      </c>
      <c r="F262" s="2" t="s">
        <v>32</v>
      </c>
      <c r="G262" s="2" t="s">
        <v>33</v>
      </c>
      <c r="H262" s="2" t="s">
        <v>49</v>
      </c>
      <c r="I262" s="2" t="s">
        <v>53</v>
      </c>
      <c r="J262" s="2" t="s">
        <v>36</v>
      </c>
      <c r="K262" s="2" t="s">
        <v>67</v>
      </c>
      <c r="L262" s="2" t="n">
        <v>0</v>
      </c>
      <c r="M262" s="2" t="str">
        <f aca="false">IF(L262="","",IF(L262=0,"Low",IF(L262=1,"Medium","High")))</f>
        <v>Low</v>
      </c>
    </row>
    <row r="263" customFormat="false" ht="15" hidden="false" customHeight="false" outlineLevel="0" collapsed="false">
      <c r="A263" s="2" t="s">
        <v>441</v>
      </c>
      <c r="B263" s="2" t="s">
        <v>440</v>
      </c>
      <c r="C263" s="2" t="s">
        <v>39</v>
      </c>
      <c r="D263" s="6" t="n">
        <v>45808</v>
      </c>
      <c r="E263" s="2" t="s">
        <v>31</v>
      </c>
      <c r="F263" s="2" t="s">
        <v>32</v>
      </c>
      <c r="G263" s="2" t="s">
        <v>33</v>
      </c>
      <c r="H263" s="2" t="s">
        <v>52</v>
      </c>
      <c r="I263" s="2" t="s">
        <v>53</v>
      </c>
      <c r="J263" s="2" t="s">
        <v>36</v>
      </c>
      <c r="K263" s="2" t="s">
        <v>67</v>
      </c>
      <c r="L263" s="2"/>
      <c r="M263" s="2" t="str">
        <f aca="false">IF(L263="","",IF(L263=0,"Low",IF(L263=1,"Medium","High")))</f>
        <v/>
      </c>
    </row>
    <row r="264" customFormat="false" ht="15" hidden="false" customHeight="false" outlineLevel="0" collapsed="false">
      <c r="A264" s="2" t="s">
        <v>442</v>
      </c>
      <c r="B264" s="2" t="s">
        <v>443</v>
      </c>
      <c r="C264" s="2" t="s">
        <v>30</v>
      </c>
      <c r="D264" s="6" t="n">
        <v>45443</v>
      </c>
      <c r="E264" s="2" t="s">
        <v>60</v>
      </c>
      <c r="F264" s="2" t="s">
        <v>32</v>
      </c>
      <c r="G264" s="2" t="s">
        <v>42</v>
      </c>
      <c r="H264" s="2" t="s">
        <v>43</v>
      </c>
      <c r="I264" s="2" t="s">
        <v>35</v>
      </c>
      <c r="J264" s="2" t="s">
        <v>79</v>
      </c>
      <c r="K264" s="2" t="s">
        <v>57</v>
      </c>
      <c r="L264" s="2" t="n">
        <v>0</v>
      </c>
      <c r="M264" s="2" t="str">
        <f aca="false">IF(L264="","",IF(L264=0,"Low",IF(L264=1,"Medium","High")))</f>
        <v>Low</v>
      </c>
    </row>
    <row r="265" customFormat="false" ht="15" hidden="false" customHeight="false" outlineLevel="0" collapsed="false">
      <c r="A265" s="2" t="s">
        <v>444</v>
      </c>
      <c r="B265" s="2" t="s">
        <v>443</v>
      </c>
      <c r="C265" s="2" t="s">
        <v>39</v>
      </c>
      <c r="D265" s="6" t="n">
        <v>45808</v>
      </c>
      <c r="E265" s="2" t="s">
        <v>60</v>
      </c>
      <c r="F265" s="2" t="s">
        <v>32</v>
      </c>
      <c r="G265" s="2" t="s">
        <v>33</v>
      </c>
      <c r="H265" s="2" t="s">
        <v>49</v>
      </c>
      <c r="I265" s="2" t="s">
        <v>35</v>
      </c>
      <c r="J265" s="2" t="s">
        <v>79</v>
      </c>
      <c r="K265" s="2" t="s">
        <v>57</v>
      </c>
      <c r="L265" s="2" t="n">
        <v>0</v>
      </c>
      <c r="M265" s="2" t="str">
        <f aca="false">IF(L265="","",IF(L265=0,"Low",IF(L265=1,"Medium","High")))</f>
        <v>Low</v>
      </c>
    </row>
    <row r="266" customFormat="false" ht="15" hidden="false" customHeight="false" outlineLevel="0" collapsed="false">
      <c r="A266" s="2" t="s">
        <v>445</v>
      </c>
      <c r="B266" s="2" t="s">
        <v>443</v>
      </c>
      <c r="C266" s="2" t="s">
        <v>47</v>
      </c>
      <c r="D266" s="6" t="n">
        <v>46173</v>
      </c>
      <c r="E266" s="2" t="s">
        <v>60</v>
      </c>
      <c r="F266" s="2" t="s">
        <v>32</v>
      </c>
      <c r="G266" s="2" t="s">
        <v>33</v>
      </c>
      <c r="H266" s="2" t="s">
        <v>52</v>
      </c>
      <c r="I266" s="2" t="s">
        <v>35</v>
      </c>
      <c r="J266" s="2" t="s">
        <v>79</v>
      </c>
      <c r="K266" s="2" t="s">
        <v>57</v>
      </c>
      <c r="L266" s="2"/>
      <c r="M266" s="2" t="str">
        <f aca="false">IF(L266="","",IF(L266=0,"Low",IF(L266=1,"Medium","High")))</f>
        <v/>
      </c>
    </row>
    <row r="267" customFormat="false" ht="15" hidden="false" customHeight="false" outlineLevel="0" collapsed="false">
      <c r="A267" s="2" t="s">
        <v>446</v>
      </c>
      <c r="B267" s="2" t="s">
        <v>447</v>
      </c>
      <c r="C267" s="2" t="s">
        <v>30</v>
      </c>
      <c r="D267" s="6" t="n">
        <v>45443</v>
      </c>
      <c r="E267" s="2" t="s">
        <v>31</v>
      </c>
      <c r="F267" s="2" t="s">
        <v>32</v>
      </c>
      <c r="G267" s="2" t="s">
        <v>48</v>
      </c>
      <c r="H267" s="2" t="s">
        <v>43</v>
      </c>
      <c r="I267" s="2" t="s">
        <v>53</v>
      </c>
      <c r="J267" s="2" t="s">
        <v>36</v>
      </c>
      <c r="K267" s="2" t="s">
        <v>45</v>
      </c>
      <c r="L267" s="2" t="n">
        <v>0</v>
      </c>
      <c r="M267" s="2" t="str">
        <f aca="false">IF(L267="","",IF(L267=0,"Low",IF(L267=1,"Medium","High")))</f>
        <v>Low</v>
      </c>
    </row>
    <row r="268" customFormat="false" ht="15" hidden="false" customHeight="false" outlineLevel="0" collapsed="false">
      <c r="A268" s="2" t="s">
        <v>448</v>
      </c>
      <c r="B268" s="2" t="s">
        <v>447</v>
      </c>
      <c r="C268" s="2" t="s">
        <v>39</v>
      </c>
      <c r="D268" s="6" t="n">
        <v>45808</v>
      </c>
      <c r="E268" s="2" t="s">
        <v>31</v>
      </c>
      <c r="F268" s="2" t="s">
        <v>32</v>
      </c>
      <c r="G268" s="2" t="s">
        <v>33</v>
      </c>
      <c r="H268" s="2" t="s">
        <v>49</v>
      </c>
      <c r="I268" s="2" t="s">
        <v>53</v>
      </c>
      <c r="J268" s="2" t="s">
        <v>36</v>
      </c>
      <c r="K268" s="2" t="s">
        <v>45</v>
      </c>
      <c r="L268" s="2" t="n">
        <v>0</v>
      </c>
      <c r="M268" s="2" t="str">
        <f aca="false">IF(L268="","",IF(L268=0,"Low",IF(L268=1,"Medium","High")))</f>
        <v>Low</v>
      </c>
    </row>
    <row r="269" customFormat="false" ht="15" hidden="false" customHeight="false" outlineLevel="0" collapsed="false">
      <c r="A269" s="2" t="s">
        <v>449</v>
      </c>
      <c r="B269" s="2" t="s">
        <v>447</v>
      </c>
      <c r="C269" s="2" t="s">
        <v>47</v>
      </c>
      <c r="D269" s="6" t="n">
        <v>46173</v>
      </c>
      <c r="E269" s="2" t="s">
        <v>31</v>
      </c>
      <c r="F269" s="2" t="s">
        <v>32</v>
      </c>
      <c r="G269" s="2" t="s">
        <v>33</v>
      </c>
      <c r="H269" s="2" t="s">
        <v>52</v>
      </c>
      <c r="I269" s="2" t="s">
        <v>53</v>
      </c>
      <c r="J269" s="2" t="s">
        <v>36</v>
      </c>
      <c r="K269" s="2" t="s">
        <v>45</v>
      </c>
      <c r="L269" s="2"/>
      <c r="M269" s="2" t="str">
        <f aca="false">IF(L269="","",IF(L269=0,"Low",IF(L269=1,"Medium","High")))</f>
        <v/>
      </c>
    </row>
    <row r="270" customFormat="false" ht="15" hidden="false" customHeight="false" outlineLevel="0" collapsed="false">
      <c r="A270" s="2" t="s">
        <v>450</v>
      </c>
      <c r="B270" s="2" t="s">
        <v>451</v>
      </c>
      <c r="C270" s="2" t="s">
        <v>30</v>
      </c>
      <c r="D270" s="6" t="n">
        <v>45443</v>
      </c>
      <c r="E270" s="2" t="s">
        <v>64</v>
      </c>
      <c r="F270" s="2" t="s">
        <v>65</v>
      </c>
      <c r="G270" s="2" t="s">
        <v>65</v>
      </c>
      <c r="H270" s="2" t="s">
        <v>52</v>
      </c>
      <c r="I270" s="2" t="s">
        <v>66</v>
      </c>
      <c r="J270" s="2" t="s">
        <v>36</v>
      </c>
      <c r="K270" s="2" t="s">
        <v>67</v>
      </c>
      <c r="L270" s="2"/>
      <c r="M270" s="2" t="str">
        <f aca="false">IF(L270="","",IF(L270=0,"Low",IF(L270=1,"Medium","High")))</f>
        <v/>
      </c>
    </row>
    <row r="271" customFormat="false" ht="15" hidden="false" customHeight="false" outlineLevel="0" collapsed="false">
      <c r="A271" s="2" t="s">
        <v>452</v>
      </c>
      <c r="B271" s="2" t="s">
        <v>453</v>
      </c>
      <c r="C271" s="2" t="s">
        <v>30</v>
      </c>
      <c r="D271" s="6" t="n">
        <v>45443</v>
      </c>
      <c r="E271" s="2" t="s">
        <v>60</v>
      </c>
      <c r="F271" s="2" t="s">
        <v>41</v>
      </c>
      <c r="G271" s="2" t="s">
        <v>33</v>
      </c>
      <c r="H271" s="2" t="s">
        <v>49</v>
      </c>
      <c r="I271" s="2" t="s">
        <v>53</v>
      </c>
      <c r="J271" s="2" t="s">
        <v>228</v>
      </c>
      <c r="K271" s="2" t="s">
        <v>57</v>
      </c>
      <c r="L271" s="2" t="n">
        <v>1</v>
      </c>
      <c r="M271" s="2" t="str">
        <f aca="false">IF(L271="","",IF(L271=0,"Low",IF(L271=1,"Medium","High")))</f>
        <v>Medium</v>
      </c>
    </row>
    <row r="272" customFormat="false" ht="15" hidden="false" customHeight="false" outlineLevel="0" collapsed="false">
      <c r="A272" s="2" t="s">
        <v>454</v>
      </c>
      <c r="B272" s="2" t="s">
        <v>453</v>
      </c>
      <c r="C272" s="2" t="s">
        <v>39</v>
      </c>
      <c r="D272" s="6" t="n">
        <v>45808</v>
      </c>
      <c r="E272" s="2" t="s">
        <v>60</v>
      </c>
      <c r="F272" s="2" t="s">
        <v>41</v>
      </c>
      <c r="G272" s="2" t="s">
        <v>42</v>
      </c>
      <c r="H272" s="2" t="s">
        <v>52</v>
      </c>
      <c r="I272" s="2" t="s">
        <v>53</v>
      </c>
      <c r="J272" s="2" t="s">
        <v>44</v>
      </c>
      <c r="K272" s="2" t="s">
        <v>45</v>
      </c>
      <c r="L272" s="2"/>
      <c r="M272" s="2" t="str">
        <f aca="false">IF(L272="","",IF(L272=0,"Low",IF(L272=1,"Medium","High")))</f>
        <v/>
      </c>
    </row>
    <row r="273" customFormat="false" ht="15" hidden="false" customHeight="false" outlineLevel="0" collapsed="false">
      <c r="A273" s="2" t="s">
        <v>455</v>
      </c>
      <c r="B273" s="2" t="s">
        <v>456</v>
      </c>
      <c r="C273" s="2" t="s">
        <v>30</v>
      </c>
      <c r="D273" s="6" t="n">
        <v>45443</v>
      </c>
      <c r="E273" s="2" t="s">
        <v>64</v>
      </c>
      <c r="F273" s="2" t="s">
        <v>65</v>
      </c>
      <c r="G273" s="2" t="s">
        <v>65</v>
      </c>
      <c r="H273" s="2" t="s">
        <v>49</v>
      </c>
      <c r="I273" s="2" t="s">
        <v>86</v>
      </c>
      <c r="J273" s="2" t="s">
        <v>36</v>
      </c>
      <c r="K273" s="2" t="s">
        <v>67</v>
      </c>
      <c r="L273" s="2" t="n">
        <v>1</v>
      </c>
      <c r="M273" s="2" t="str">
        <f aca="false">IF(L273="","",IF(L273=0,"Low",IF(L273=1,"Medium","High")))</f>
        <v>Medium</v>
      </c>
    </row>
    <row r="274" customFormat="false" ht="15" hidden="false" customHeight="false" outlineLevel="0" collapsed="false">
      <c r="A274" s="2" t="s">
        <v>457</v>
      </c>
      <c r="B274" s="2" t="s">
        <v>456</v>
      </c>
      <c r="C274" s="2" t="s">
        <v>39</v>
      </c>
      <c r="D274" s="6" t="n">
        <v>45808</v>
      </c>
      <c r="E274" s="2" t="s">
        <v>31</v>
      </c>
      <c r="F274" s="2" t="s">
        <v>56</v>
      </c>
      <c r="G274" s="2" t="s">
        <v>33</v>
      </c>
      <c r="H274" s="2" t="s">
        <v>52</v>
      </c>
      <c r="I274" s="2" t="s">
        <v>86</v>
      </c>
      <c r="J274" s="2" t="s">
        <v>36</v>
      </c>
      <c r="K274" s="2" t="s">
        <v>37</v>
      </c>
      <c r="L274" s="2"/>
      <c r="M274" s="2" t="str">
        <f aca="false">IF(L274="","",IF(L274=0,"Low",IF(L274=1,"Medium","High")))</f>
        <v/>
      </c>
    </row>
    <row r="275" customFormat="false" ht="15" hidden="false" customHeight="false" outlineLevel="0" collapsed="false">
      <c r="A275" s="2" t="s">
        <v>458</v>
      </c>
      <c r="B275" s="2" t="s">
        <v>459</v>
      </c>
      <c r="C275" s="2" t="s">
        <v>30</v>
      </c>
      <c r="D275" s="6" t="n">
        <v>45443</v>
      </c>
      <c r="E275" s="2" t="s">
        <v>60</v>
      </c>
      <c r="F275" s="2" t="s">
        <v>41</v>
      </c>
      <c r="G275" s="2" t="s">
        <v>110</v>
      </c>
      <c r="H275" s="2" t="s">
        <v>43</v>
      </c>
      <c r="I275" s="2" t="s">
        <v>53</v>
      </c>
      <c r="J275" s="2" t="s">
        <v>44</v>
      </c>
      <c r="K275" s="2" t="s">
        <v>37</v>
      </c>
      <c r="L275" s="2" t="n">
        <v>3</v>
      </c>
      <c r="M275" s="2" t="str">
        <f aca="false">IF(L275="","",IF(L275=0,"Low",IF(L275=1,"Medium","High")))</f>
        <v>High</v>
      </c>
    </row>
    <row r="276" customFormat="false" ht="15" hidden="false" customHeight="false" outlineLevel="0" collapsed="false">
      <c r="A276" s="2" t="s">
        <v>460</v>
      </c>
      <c r="B276" s="2" t="s">
        <v>459</v>
      </c>
      <c r="C276" s="2" t="s">
        <v>39</v>
      </c>
      <c r="D276" s="6" t="n">
        <v>45808</v>
      </c>
      <c r="E276" s="2" t="s">
        <v>40</v>
      </c>
      <c r="F276" s="2" t="s">
        <v>41</v>
      </c>
      <c r="G276" s="2" t="s">
        <v>42</v>
      </c>
      <c r="H276" s="2" t="s">
        <v>49</v>
      </c>
      <c r="I276" s="2" t="s">
        <v>53</v>
      </c>
      <c r="J276" s="2" t="s">
        <v>44</v>
      </c>
      <c r="K276" s="2" t="s">
        <v>37</v>
      </c>
      <c r="L276" s="2" t="n">
        <v>1</v>
      </c>
      <c r="M276" s="2" t="str">
        <f aca="false">IF(L276="","",IF(L276=0,"Low",IF(L276=1,"Medium","High")))</f>
        <v>Medium</v>
      </c>
    </row>
    <row r="277" customFormat="false" ht="15" hidden="false" customHeight="false" outlineLevel="0" collapsed="false">
      <c r="A277" s="2" t="s">
        <v>461</v>
      </c>
      <c r="B277" s="2" t="s">
        <v>459</v>
      </c>
      <c r="C277" s="2" t="s">
        <v>47</v>
      </c>
      <c r="D277" s="6" t="n">
        <v>46173</v>
      </c>
      <c r="E277" s="2" t="s">
        <v>40</v>
      </c>
      <c r="F277" s="2" t="s">
        <v>41</v>
      </c>
      <c r="G277" s="2" t="s">
        <v>33</v>
      </c>
      <c r="H277" s="2" t="s">
        <v>52</v>
      </c>
      <c r="I277" s="2" t="s">
        <v>53</v>
      </c>
      <c r="J277" s="2" t="s">
        <v>44</v>
      </c>
      <c r="K277" s="2" t="s">
        <v>45</v>
      </c>
      <c r="L277" s="2"/>
      <c r="M277" s="2" t="str">
        <f aca="false">IF(L277="","",IF(L277=0,"Low",IF(L277=1,"Medium","High")))</f>
        <v/>
      </c>
    </row>
    <row r="278" customFormat="false" ht="15" hidden="false" customHeight="false" outlineLevel="0" collapsed="false">
      <c r="A278" s="2" t="s">
        <v>462</v>
      </c>
      <c r="B278" s="2" t="s">
        <v>463</v>
      </c>
      <c r="C278" s="2" t="s">
        <v>30</v>
      </c>
      <c r="D278" s="6" t="n">
        <v>45443</v>
      </c>
      <c r="E278" s="2" t="s">
        <v>31</v>
      </c>
      <c r="F278" s="2" t="s">
        <v>32</v>
      </c>
      <c r="G278" s="2" t="s">
        <v>33</v>
      </c>
      <c r="H278" s="2" t="s">
        <v>34</v>
      </c>
      <c r="I278" s="2" t="s">
        <v>66</v>
      </c>
      <c r="J278" s="2" t="s">
        <v>36</v>
      </c>
      <c r="K278" s="2" t="s">
        <v>37</v>
      </c>
      <c r="L278" s="2" t="n">
        <v>1</v>
      </c>
      <c r="M278" s="2" t="str">
        <f aca="false">IF(L278="","",IF(L278=0,"Low",IF(L278=1,"Medium","High")))</f>
        <v>Medium</v>
      </c>
    </row>
    <row r="279" customFormat="false" ht="15" hidden="false" customHeight="false" outlineLevel="0" collapsed="false">
      <c r="A279" s="2" t="s">
        <v>464</v>
      </c>
      <c r="B279" s="2" t="s">
        <v>463</v>
      </c>
      <c r="C279" s="2" t="s">
        <v>39</v>
      </c>
      <c r="D279" s="6" t="n">
        <v>45808</v>
      </c>
      <c r="E279" s="2" t="s">
        <v>60</v>
      </c>
      <c r="F279" s="2" t="s">
        <v>41</v>
      </c>
      <c r="G279" s="2" t="s">
        <v>33</v>
      </c>
      <c r="H279" s="2" t="s">
        <v>43</v>
      </c>
      <c r="I279" s="2" t="s">
        <v>66</v>
      </c>
      <c r="J279" s="2" t="s">
        <v>44</v>
      </c>
      <c r="K279" s="2" t="s">
        <v>45</v>
      </c>
      <c r="L279" s="2" t="n">
        <v>6</v>
      </c>
      <c r="M279" s="2" t="str">
        <f aca="false">IF(L279="","",IF(L279=0,"Low",IF(L279=1,"Medium","High")))</f>
        <v>High</v>
      </c>
    </row>
    <row r="280" customFormat="false" ht="15" hidden="false" customHeight="false" outlineLevel="0" collapsed="false">
      <c r="A280" s="2" t="s">
        <v>465</v>
      </c>
      <c r="B280" s="2" t="s">
        <v>463</v>
      </c>
      <c r="C280" s="2" t="s">
        <v>47</v>
      </c>
      <c r="D280" s="6" t="n">
        <v>46173</v>
      </c>
      <c r="E280" s="2" t="s">
        <v>40</v>
      </c>
      <c r="F280" s="2" t="s">
        <v>41</v>
      </c>
      <c r="G280" s="2" t="s">
        <v>33</v>
      </c>
      <c r="H280" s="2" t="s">
        <v>49</v>
      </c>
      <c r="I280" s="2" t="s">
        <v>66</v>
      </c>
      <c r="J280" s="2" t="s">
        <v>44</v>
      </c>
      <c r="K280" s="2" t="s">
        <v>57</v>
      </c>
      <c r="L280" s="2"/>
      <c r="M280" s="2" t="str">
        <f aca="false">IF(L280="","",IF(L280=0,"Low",IF(L280=1,"Medium","High")))</f>
        <v/>
      </c>
    </row>
    <row r="281" customFormat="false" ht="15" hidden="false" customHeight="false" outlineLevel="0" collapsed="false">
      <c r="A281" s="2" t="s">
        <v>466</v>
      </c>
      <c r="B281" s="2" t="s">
        <v>467</v>
      </c>
      <c r="C281" s="2" t="s">
        <v>30</v>
      </c>
      <c r="D281" s="6" t="n">
        <v>45443</v>
      </c>
      <c r="E281" s="2" t="s">
        <v>64</v>
      </c>
      <c r="F281" s="2" t="s">
        <v>65</v>
      </c>
      <c r="G281" s="2" t="s">
        <v>65</v>
      </c>
      <c r="H281" s="2" t="s">
        <v>34</v>
      </c>
      <c r="I281" s="2" t="s">
        <v>35</v>
      </c>
      <c r="J281" s="2" t="s">
        <v>36</v>
      </c>
      <c r="K281" s="2" t="s">
        <v>67</v>
      </c>
      <c r="L281" s="2" t="n">
        <v>0</v>
      </c>
      <c r="M281" s="2" t="str">
        <f aca="false">IF(L281="","",IF(L281=0,"Low",IF(L281=1,"Medium","High")))</f>
        <v>Low</v>
      </c>
    </row>
    <row r="282" customFormat="false" ht="15" hidden="false" customHeight="false" outlineLevel="0" collapsed="false">
      <c r="A282" s="2" t="s">
        <v>468</v>
      </c>
      <c r="B282" s="2" t="s">
        <v>467</v>
      </c>
      <c r="C282" s="2" t="s">
        <v>39</v>
      </c>
      <c r="D282" s="6" t="n">
        <v>45808</v>
      </c>
      <c r="E282" s="2" t="s">
        <v>64</v>
      </c>
      <c r="F282" s="2" t="s">
        <v>65</v>
      </c>
      <c r="G282" s="2" t="s">
        <v>65</v>
      </c>
      <c r="H282" s="2" t="s">
        <v>43</v>
      </c>
      <c r="I282" s="2" t="s">
        <v>35</v>
      </c>
      <c r="J282" s="2" t="s">
        <v>36</v>
      </c>
      <c r="K282" s="2" t="s">
        <v>67</v>
      </c>
      <c r="L282" s="2" t="n">
        <v>1</v>
      </c>
      <c r="M282" s="2" t="str">
        <f aca="false">IF(L282="","",IF(L282=0,"Low",IF(L282=1,"Medium","High")))</f>
        <v>Medium</v>
      </c>
    </row>
    <row r="283" customFormat="false" ht="15" hidden="false" customHeight="false" outlineLevel="0" collapsed="false">
      <c r="A283" s="2" t="s">
        <v>469</v>
      </c>
      <c r="B283" s="2" t="s">
        <v>467</v>
      </c>
      <c r="C283" s="2" t="s">
        <v>47</v>
      </c>
      <c r="D283" s="6" t="n">
        <v>46173</v>
      </c>
      <c r="E283" s="2" t="s">
        <v>31</v>
      </c>
      <c r="F283" s="2" t="s">
        <v>32</v>
      </c>
      <c r="G283" s="2" t="s">
        <v>33</v>
      </c>
      <c r="H283" s="2" t="s">
        <v>49</v>
      </c>
      <c r="I283" s="2" t="s">
        <v>35</v>
      </c>
      <c r="J283" s="2" t="s">
        <v>36</v>
      </c>
      <c r="K283" s="2" t="s">
        <v>45</v>
      </c>
      <c r="L283" s="2"/>
      <c r="M283" s="2" t="str">
        <f aca="false">IF(L283="","",IF(L283=0,"Low",IF(L283=1,"Medium","High")))</f>
        <v/>
      </c>
    </row>
    <row r="284" customFormat="false" ht="15" hidden="false" customHeight="false" outlineLevel="0" collapsed="false">
      <c r="A284" s="2" t="s">
        <v>470</v>
      </c>
      <c r="B284" s="2" t="s">
        <v>471</v>
      </c>
      <c r="C284" s="2" t="s">
        <v>30</v>
      </c>
      <c r="D284" s="6" t="n">
        <v>45443</v>
      </c>
      <c r="E284" s="2" t="s">
        <v>60</v>
      </c>
      <c r="F284" s="2" t="s">
        <v>41</v>
      </c>
      <c r="G284" s="2" t="s">
        <v>48</v>
      </c>
      <c r="H284" s="2" t="s">
        <v>34</v>
      </c>
      <c r="I284" s="2" t="s">
        <v>53</v>
      </c>
      <c r="J284" s="2" t="s">
        <v>44</v>
      </c>
      <c r="K284" s="2" t="s">
        <v>45</v>
      </c>
      <c r="L284" s="2" t="n">
        <v>1</v>
      </c>
      <c r="M284" s="2" t="str">
        <f aca="false">IF(L284="","",IF(L284=0,"Low",IF(L284=1,"Medium","High")))</f>
        <v>Medium</v>
      </c>
    </row>
    <row r="285" customFormat="false" ht="15" hidden="false" customHeight="false" outlineLevel="0" collapsed="false">
      <c r="A285" s="2" t="s">
        <v>472</v>
      </c>
      <c r="B285" s="2" t="s">
        <v>471</v>
      </c>
      <c r="C285" s="2" t="s">
        <v>39</v>
      </c>
      <c r="D285" s="6" t="n">
        <v>45808</v>
      </c>
      <c r="E285" s="2" t="s">
        <v>60</v>
      </c>
      <c r="F285" s="2" t="s">
        <v>41</v>
      </c>
      <c r="G285" s="2" t="s">
        <v>42</v>
      </c>
      <c r="H285" s="2" t="s">
        <v>43</v>
      </c>
      <c r="I285" s="2" t="s">
        <v>53</v>
      </c>
      <c r="J285" s="2" t="s">
        <v>44</v>
      </c>
      <c r="K285" s="2" t="s">
        <v>45</v>
      </c>
      <c r="L285" s="2" t="n">
        <v>0</v>
      </c>
      <c r="M285" s="2" t="str">
        <f aca="false">IF(L285="","",IF(L285=0,"Low",IF(L285=1,"Medium","High")))</f>
        <v>Low</v>
      </c>
    </row>
    <row r="286" customFormat="false" ht="15" hidden="false" customHeight="false" outlineLevel="0" collapsed="false">
      <c r="A286" s="2" t="s">
        <v>473</v>
      </c>
      <c r="B286" s="2" t="s">
        <v>471</v>
      </c>
      <c r="C286" s="2" t="s">
        <v>47</v>
      </c>
      <c r="D286" s="6" t="n">
        <v>46173</v>
      </c>
      <c r="E286" s="2" t="s">
        <v>60</v>
      </c>
      <c r="F286" s="2" t="s">
        <v>41</v>
      </c>
      <c r="G286" s="2" t="s">
        <v>33</v>
      </c>
      <c r="H286" s="2" t="s">
        <v>49</v>
      </c>
      <c r="I286" s="2" t="s">
        <v>53</v>
      </c>
      <c r="J286" s="2" t="s">
        <v>44</v>
      </c>
      <c r="K286" s="2" t="s">
        <v>45</v>
      </c>
      <c r="L286" s="2"/>
      <c r="M286" s="2" t="str">
        <f aca="false">IF(L286="","",IF(L286=0,"Low",IF(L286=1,"Medium","High")))</f>
        <v/>
      </c>
    </row>
    <row r="287" customFormat="false" ht="15" hidden="false" customHeight="false" outlineLevel="0" collapsed="false">
      <c r="A287" s="2" t="s">
        <v>474</v>
      </c>
      <c r="B287" s="2" t="s">
        <v>475</v>
      </c>
      <c r="C287" s="2" t="s">
        <v>30</v>
      </c>
      <c r="D287" s="6" t="n">
        <v>45443</v>
      </c>
      <c r="E287" s="2" t="s">
        <v>31</v>
      </c>
      <c r="F287" s="2" t="s">
        <v>32</v>
      </c>
      <c r="G287" s="2" t="s">
        <v>42</v>
      </c>
      <c r="H287" s="2" t="s">
        <v>52</v>
      </c>
      <c r="I287" s="2" t="s">
        <v>86</v>
      </c>
      <c r="J287" s="2" t="s">
        <v>36</v>
      </c>
      <c r="K287" s="2" t="s">
        <v>45</v>
      </c>
      <c r="L287" s="2"/>
      <c r="M287" s="2" t="str">
        <f aca="false">IF(L287="","",IF(L287=0,"Low",IF(L287=1,"Medium","High")))</f>
        <v/>
      </c>
    </row>
    <row r="288" customFormat="false" ht="15" hidden="false" customHeight="false" outlineLevel="0" collapsed="false">
      <c r="A288" s="2" t="s">
        <v>476</v>
      </c>
      <c r="B288" s="2" t="s">
        <v>477</v>
      </c>
      <c r="C288" s="2" t="s">
        <v>30</v>
      </c>
      <c r="D288" s="6" t="n">
        <v>45443</v>
      </c>
      <c r="E288" s="2" t="s">
        <v>64</v>
      </c>
      <c r="F288" s="2" t="s">
        <v>65</v>
      </c>
      <c r="G288" s="2" t="s">
        <v>65</v>
      </c>
      <c r="H288" s="2" t="s">
        <v>49</v>
      </c>
      <c r="I288" s="2" t="s">
        <v>35</v>
      </c>
      <c r="J288" s="2" t="s">
        <v>36</v>
      </c>
      <c r="K288" s="2" t="s">
        <v>67</v>
      </c>
      <c r="L288" s="2" t="n">
        <v>0</v>
      </c>
      <c r="M288" s="2" t="str">
        <f aca="false">IF(L288="","",IF(L288=0,"Low",IF(L288=1,"Medium","High")))</f>
        <v>Low</v>
      </c>
    </row>
    <row r="289" customFormat="false" ht="15" hidden="false" customHeight="false" outlineLevel="0" collapsed="false">
      <c r="A289" s="2" t="s">
        <v>478</v>
      </c>
      <c r="B289" s="2" t="s">
        <v>477</v>
      </c>
      <c r="C289" s="2" t="s">
        <v>39</v>
      </c>
      <c r="D289" s="6" t="n">
        <v>45808</v>
      </c>
      <c r="E289" s="2" t="s">
        <v>64</v>
      </c>
      <c r="F289" s="2" t="s">
        <v>65</v>
      </c>
      <c r="G289" s="2" t="s">
        <v>65</v>
      </c>
      <c r="H289" s="2" t="s">
        <v>52</v>
      </c>
      <c r="I289" s="2" t="s">
        <v>35</v>
      </c>
      <c r="J289" s="2" t="s">
        <v>36</v>
      </c>
      <c r="K289" s="2" t="s">
        <v>67</v>
      </c>
      <c r="L289" s="2"/>
      <c r="M289" s="2" t="str">
        <f aca="false">IF(L289="","",IF(L289=0,"Low",IF(L289=1,"Medium","High")))</f>
        <v/>
      </c>
    </row>
    <row r="290" customFormat="false" ht="15" hidden="false" customHeight="false" outlineLevel="0" collapsed="false">
      <c r="A290" s="2" t="s">
        <v>479</v>
      </c>
      <c r="B290" s="2" t="s">
        <v>480</v>
      </c>
      <c r="C290" s="2" t="s">
        <v>30</v>
      </c>
      <c r="D290" s="6" t="n">
        <v>45443</v>
      </c>
      <c r="E290" s="2" t="s">
        <v>64</v>
      </c>
      <c r="F290" s="2" t="s">
        <v>65</v>
      </c>
      <c r="G290" s="2" t="s">
        <v>65</v>
      </c>
      <c r="H290" s="2" t="s">
        <v>49</v>
      </c>
      <c r="I290" s="2" t="s">
        <v>35</v>
      </c>
      <c r="J290" s="2" t="s">
        <v>36</v>
      </c>
      <c r="K290" s="2" t="s">
        <v>67</v>
      </c>
      <c r="L290" s="2" t="n">
        <v>0</v>
      </c>
      <c r="M290" s="2" t="str">
        <f aca="false">IF(L290="","",IF(L290=0,"Low",IF(L290=1,"Medium","High")))</f>
        <v>Low</v>
      </c>
    </row>
    <row r="291" customFormat="false" ht="15" hidden="false" customHeight="false" outlineLevel="0" collapsed="false">
      <c r="A291" s="2" t="s">
        <v>481</v>
      </c>
      <c r="B291" s="2" t="s">
        <v>480</v>
      </c>
      <c r="C291" s="2" t="s">
        <v>39</v>
      </c>
      <c r="D291" s="6" t="n">
        <v>45808</v>
      </c>
      <c r="E291" s="2" t="s">
        <v>64</v>
      </c>
      <c r="F291" s="2" t="s">
        <v>65</v>
      </c>
      <c r="G291" s="2" t="s">
        <v>65</v>
      </c>
      <c r="H291" s="2" t="s">
        <v>52</v>
      </c>
      <c r="I291" s="2" t="s">
        <v>35</v>
      </c>
      <c r="J291" s="2" t="s">
        <v>36</v>
      </c>
      <c r="K291" s="2" t="s">
        <v>67</v>
      </c>
      <c r="L291" s="2"/>
      <c r="M291" s="2" t="str">
        <f aca="false">IF(L291="","",IF(L291=0,"Low",IF(L291=1,"Medium","High")))</f>
        <v/>
      </c>
    </row>
    <row r="292" customFormat="false" ht="15" hidden="false" customHeight="false" outlineLevel="0" collapsed="false">
      <c r="A292" s="2" t="s">
        <v>482</v>
      </c>
      <c r="B292" s="2" t="s">
        <v>483</v>
      </c>
      <c r="C292" s="2" t="s">
        <v>30</v>
      </c>
      <c r="D292" s="6" t="n">
        <v>45443</v>
      </c>
      <c r="E292" s="2" t="s">
        <v>60</v>
      </c>
      <c r="F292" s="2" t="s">
        <v>41</v>
      </c>
      <c r="G292" s="2" t="s">
        <v>42</v>
      </c>
      <c r="H292" s="2" t="s">
        <v>34</v>
      </c>
      <c r="I292" s="2" t="s">
        <v>66</v>
      </c>
      <c r="J292" s="2" t="s">
        <v>44</v>
      </c>
      <c r="K292" s="2" t="s">
        <v>45</v>
      </c>
      <c r="L292" s="2" t="n">
        <v>2</v>
      </c>
      <c r="M292" s="2" t="str">
        <f aca="false">IF(L292="","",IF(L292=0,"Low",IF(L292=1,"Medium","High")))</f>
        <v>High</v>
      </c>
    </row>
    <row r="293" customFormat="false" ht="15" hidden="false" customHeight="false" outlineLevel="0" collapsed="false">
      <c r="A293" s="2" t="s">
        <v>484</v>
      </c>
      <c r="B293" s="2" t="s">
        <v>483</v>
      </c>
      <c r="C293" s="2" t="s">
        <v>39</v>
      </c>
      <c r="D293" s="6" t="n">
        <v>45808</v>
      </c>
      <c r="E293" s="2" t="s">
        <v>40</v>
      </c>
      <c r="F293" s="2" t="s">
        <v>41</v>
      </c>
      <c r="G293" s="2" t="s">
        <v>42</v>
      </c>
      <c r="H293" s="2" t="s">
        <v>43</v>
      </c>
      <c r="I293" s="2" t="s">
        <v>66</v>
      </c>
      <c r="J293" s="2" t="s">
        <v>44</v>
      </c>
      <c r="K293" s="2" t="s">
        <v>37</v>
      </c>
      <c r="L293" s="2" t="n">
        <v>2</v>
      </c>
      <c r="M293" s="2" t="str">
        <f aca="false">IF(L293="","",IF(L293=0,"Low",IF(L293=1,"Medium","High")))</f>
        <v>High</v>
      </c>
    </row>
    <row r="294" customFormat="false" ht="15" hidden="false" customHeight="false" outlineLevel="0" collapsed="false">
      <c r="A294" s="2" t="s">
        <v>485</v>
      </c>
      <c r="B294" s="2" t="s">
        <v>483</v>
      </c>
      <c r="C294" s="2" t="s">
        <v>47</v>
      </c>
      <c r="D294" s="6" t="n">
        <v>46173</v>
      </c>
      <c r="E294" s="2" t="s">
        <v>40</v>
      </c>
      <c r="F294" s="2" t="s">
        <v>41</v>
      </c>
      <c r="G294" s="2" t="s">
        <v>110</v>
      </c>
      <c r="H294" s="2" t="s">
        <v>49</v>
      </c>
      <c r="I294" s="2" t="s">
        <v>66</v>
      </c>
      <c r="J294" s="2" t="s">
        <v>44</v>
      </c>
      <c r="K294" s="2" t="s">
        <v>67</v>
      </c>
      <c r="L294" s="2"/>
      <c r="M294" s="2" t="str">
        <f aca="false">IF(L294="","",IF(L294=0,"Low",IF(L294=1,"Medium","High")))</f>
        <v/>
      </c>
    </row>
    <row r="295" customFormat="false" ht="15" hidden="false" customHeight="false" outlineLevel="0" collapsed="false">
      <c r="A295" s="2" t="s">
        <v>486</v>
      </c>
      <c r="B295" s="2" t="s">
        <v>487</v>
      </c>
      <c r="C295" s="2" t="s">
        <v>30</v>
      </c>
      <c r="D295" s="6" t="n">
        <v>45443</v>
      </c>
      <c r="E295" s="2" t="s">
        <v>64</v>
      </c>
      <c r="F295" s="2" t="s">
        <v>65</v>
      </c>
      <c r="G295" s="2" t="s">
        <v>65</v>
      </c>
      <c r="H295" s="2" t="s">
        <v>52</v>
      </c>
      <c r="I295" s="2" t="s">
        <v>53</v>
      </c>
      <c r="J295" s="2" t="s">
        <v>36</v>
      </c>
      <c r="K295" s="2" t="s">
        <v>67</v>
      </c>
      <c r="L295" s="2"/>
      <c r="M295" s="2" t="str">
        <f aca="false">IF(L295="","",IF(L295=0,"Low",IF(L295=1,"Medium","High")))</f>
        <v/>
      </c>
    </row>
    <row r="296" customFormat="false" ht="15" hidden="false" customHeight="false" outlineLevel="0" collapsed="false">
      <c r="A296" s="2" t="s">
        <v>488</v>
      </c>
      <c r="B296" s="2" t="s">
        <v>489</v>
      </c>
      <c r="C296" s="2" t="s">
        <v>30</v>
      </c>
      <c r="D296" s="6" t="n">
        <v>45443</v>
      </c>
      <c r="E296" s="2" t="s">
        <v>31</v>
      </c>
      <c r="F296" s="2" t="s">
        <v>56</v>
      </c>
      <c r="G296" s="2" t="s">
        <v>33</v>
      </c>
      <c r="H296" s="2" t="s">
        <v>43</v>
      </c>
      <c r="I296" s="2" t="s">
        <v>66</v>
      </c>
      <c r="J296" s="2" t="s">
        <v>36</v>
      </c>
      <c r="K296" s="2" t="s">
        <v>45</v>
      </c>
      <c r="L296" s="2" t="n">
        <v>0</v>
      </c>
      <c r="M296" s="2" t="str">
        <f aca="false">IF(L296="","",IF(L296=0,"Low",IF(L296=1,"Medium","High")))</f>
        <v>Low</v>
      </c>
    </row>
    <row r="297" customFormat="false" ht="15" hidden="false" customHeight="false" outlineLevel="0" collapsed="false">
      <c r="A297" s="2" t="s">
        <v>490</v>
      </c>
      <c r="B297" s="2" t="s">
        <v>489</v>
      </c>
      <c r="C297" s="2" t="s">
        <v>39</v>
      </c>
      <c r="D297" s="6" t="n">
        <v>45808</v>
      </c>
      <c r="E297" s="2" t="s">
        <v>31</v>
      </c>
      <c r="F297" s="2" t="s">
        <v>56</v>
      </c>
      <c r="G297" s="2" t="s">
        <v>33</v>
      </c>
      <c r="H297" s="2" t="s">
        <v>49</v>
      </c>
      <c r="I297" s="2" t="s">
        <v>66</v>
      </c>
      <c r="J297" s="2" t="s">
        <v>36</v>
      </c>
      <c r="K297" s="2" t="s">
        <v>45</v>
      </c>
      <c r="L297" s="2" t="n">
        <v>1</v>
      </c>
      <c r="M297" s="2" t="str">
        <f aca="false">IF(L297="","",IF(L297=0,"Low",IF(L297=1,"Medium","High")))</f>
        <v>Medium</v>
      </c>
    </row>
    <row r="298" customFormat="false" ht="15" hidden="false" customHeight="false" outlineLevel="0" collapsed="false">
      <c r="A298" s="2" t="s">
        <v>491</v>
      </c>
      <c r="B298" s="2" t="s">
        <v>489</v>
      </c>
      <c r="C298" s="2" t="s">
        <v>47</v>
      </c>
      <c r="D298" s="6" t="n">
        <v>46173</v>
      </c>
      <c r="E298" s="2" t="s">
        <v>60</v>
      </c>
      <c r="F298" s="2" t="s">
        <v>56</v>
      </c>
      <c r="G298" s="2" t="s">
        <v>48</v>
      </c>
      <c r="H298" s="2" t="s">
        <v>52</v>
      </c>
      <c r="I298" s="2" t="s">
        <v>66</v>
      </c>
      <c r="J298" s="2" t="s">
        <v>44</v>
      </c>
      <c r="K298" s="2" t="s">
        <v>45</v>
      </c>
      <c r="L298" s="2"/>
      <c r="M298" s="2" t="str">
        <f aca="false">IF(L298="","",IF(L298=0,"Low",IF(L298=1,"Medium","High")))</f>
        <v/>
      </c>
    </row>
    <row r="299" customFormat="false" ht="15" hidden="false" customHeight="false" outlineLevel="0" collapsed="false">
      <c r="A299" s="2" t="s">
        <v>492</v>
      </c>
      <c r="B299" s="2" t="s">
        <v>493</v>
      </c>
      <c r="C299" s="2" t="s">
        <v>30</v>
      </c>
      <c r="D299" s="6" t="n">
        <v>45443</v>
      </c>
      <c r="E299" s="2" t="s">
        <v>64</v>
      </c>
      <c r="F299" s="2" t="s">
        <v>65</v>
      </c>
      <c r="G299" s="2" t="s">
        <v>65</v>
      </c>
      <c r="H299" s="2" t="s">
        <v>43</v>
      </c>
      <c r="I299" s="2" t="s">
        <v>53</v>
      </c>
      <c r="J299" s="2" t="s">
        <v>36</v>
      </c>
      <c r="K299" s="2" t="s">
        <v>67</v>
      </c>
      <c r="L299" s="2" t="n">
        <v>0</v>
      </c>
      <c r="M299" s="2" t="str">
        <f aca="false">IF(L299="","",IF(L299=0,"Low",IF(L299=1,"Medium","High")))</f>
        <v>Low</v>
      </c>
    </row>
    <row r="300" customFormat="false" ht="15" hidden="false" customHeight="false" outlineLevel="0" collapsed="false">
      <c r="A300" s="2" t="s">
        <v>494</v>
      </c>
      <c r="B300" s="2" t="s">
        <v>493</v>
      </c>
      <c r="C300" s="2" t="s">
        <v>39</v>
      </c>
      <c r="D300" s="6" t="n">
        <v>45808</v>
      </c>
      <c r="E300" s="2" t="s">
        <v>64</v>
      </c>
      <c r="F300" s="2" t="s">
        <v>65</v>
      </c>
      <c r="G300" s="2" t="s">
        <v>65</v>
      </c>
      <c r="H300" s="2" t="s">
        <v>49</v>
      </c>
      <c r="I300" s="2" t="s">
        <v>53</v>
      </c>
      <c r="J300" s="2" t="s">
        <v>36</v>
      </c>
      <c r="K300" s="2" t="s">
        <v>67</v>
      </c>
      <c r="L300" s="2" t="n">
        <v>1</v>
      </c>
      <c r="M300" s="2" t="str">
        <f aca="false">IF(L300="","",IF(L300=0,"Low",IF(L300=1,"Medium","High")))</f>
        <v>Medium</v>
      </c>
    </row>
    <row r="301" customFormat="false" ht="15" hidden="false" customHeight="false" outlineLevel="0" collapsed="false">
      <c r="A301" s="2" t="s">
        <v>495</v>
      </c>
      <c r="B301" s="2" t="s">
        <v>493</v>
      </c>
      <c r="C301" s="2" t="s">
        <v>47</v>
      </c>
      <c r="D301" s="6" t="n">
        <v>46173</v>
      </c>
      <c r="E301" s="2" t="s">
        <v>31</v>
      </c>
      <c r="F301" s="2" t="s">
        <v>56</v>
      </c>
      <c r="G301" s="2" t="s">
        <v>33</v>
      </c>
      <c r="H301" s="2" t="s">
        <v>52</v>
      </c>
      <c r="I301" s="2" t="s">
        <v>53</v>
      </c>
      <c r="J301" s="2" t="s">
        <v>36</v>
      </c>
      <c r="K301" s="2" t="s">
        <v>45</v>
      </c>
      <c r="L301" s="2"/>
      <c r="M301" s="2" t="str">
        <f aca="false">IF(L301="","",IF(L301=0,"Low",IF(L301=1,"Medium","High")))</f>
        <v/>
      </c>
    </row>
    <row r="302" customFormat="false" ht="15" hidden="false" customHeight="false" outlineLevel="0" collapsed="false">
      <c r="A302" s="2" t="s">
        <v>496</v>
      </c>
      <c r="B302" s="2" t="s">
        <v>497</v>
      </c>
      <c r="C302" s="2" t="s">
        <v>30</v>
      </c>
      <c r="D302" s="6" t="n">
        <v>45443</v>
      </c>
      <c r="E302" s="2" t="s">
        <v>31</v>
      </c>
      <c r="F302" s="2" t="s">
        <v>32</v>
      </c>
      <c r="G302" s="2" t="s">
        <v>48</v>
      </c>
      <c r="H302" s="2" t="s">
        <v>34</v>
      </c>
      <c r="I302" s="2" t="s">
        <v>35</v>
      </c>
      <c r="J302" s="2" t="s">
        <v>36</v>
      </c>
      <c r="K302" s="2" t="s">
        <v>45</v>
      </c>
      <c r="L302" s="2" t="n">
        <v>1</v>
      </c>
      <c r="M302" s="2" t="str">
        <f aca="false">IF(L302="","",IF(L302=0,"Low",IF(L302=1,"Medium","High")))</f>
        <v>Medium</v>
      </c>
    </row>
    <row r="303" customFormat="false" ht="15" hidden="false" customHeight="false" outlineLevel="0" collapsed="false">
      <c r="A303" s="2" t="s">
        <v>498</v>
      </c>
      <c r="B303" s="2" t="s">
        <v>497</v>
      </c>
      <c r="C303" s="2" t="s">
        <v>39</v>
      </c>
      <c r="D303" s="6" t="n">
        <v>45808</v>
      </c>
      <c r="E303" s="2" t="s">
        <v>60</v>
      </c>
      <c r="F303" s="2" t="s">
        <v>32</v>
      </c>
      <c r="G303" s="2" t="s">
        <v>42</v>
      </c>
      <c r="H303" s="2" t="s">
        <v>43</v>
      </c>
      <c r="I303" s="2" t="s">
        <v>35</v>
      </c>
      <c r="J303" s="2" t="s">
        <v>44</v>
      </c>
      <c r="K303" s="2" t="s">
        <v>45</v>
      </c>
      <c r="L303" s="2" t="n">
        <v>0</v>
      </c>
      <c r="M303" s="2" t="str">
        <f aca="false">IF(L303="","",IF(L303=0,"Low",IF(L303=1,"Medium","High")))</f>
        <v>Low</v>
      </c>
    </row>
    <row r="304" customFormat="false" ht="15" hidden="false" customHeight="false" outlineLevel="0" collapsed="false">
      <c r="A304" s="2" t="s">
        <v>499</v>
      </c>
      <c r="B304" s="2" t="s">
        <v>497</v>
      </c>
      <c r="C304" s="2" t="s">
        <v>47</v>
      </c>
      <c r="D304" s="6" t="n">
        <v>46173</v>
      </c>
      <c r="E304" s="2" t="s">
        <v>60</v>
      </c>
      <c r="F304" s="2" t="s">
        <v>32</v>
      </c>
      <c r="G304" s="2" t="s">
        <v>33</v>
      </c>
      <c r="H304" s="2" t="s">
        <v>49</v>
      </c>
      <c r="I304" s="2" t="s">
        <v>35</v>
      </c>
      <c r="J304" s="2" t="s">
        <v>44</v>
      </c>
      <c r="K304" s="2" t="s">
        <v>45</v>
      </c>
      <c r="L304" s="2"/>
      <c r="M304" s="2" t="str">
        <f aca="false">IF(L304="","",IF(L304=0,"Low",IF(L304=1,"Medium","High")))</f>
        <v/>
      </c>
    </row>
    <row r="305" customFormat="false" ht="15" hidden="false" customHeight="false" outlineLevel="0" collapsed="false">
      <c r="A305" s="2" t="s">
        <v>500</v>
      </c>
      <c r="B305" s="2" t="s">
        <v>501</v>
      </c>
      <c r="C305" s="2" t="s">
        <v>30</v>
      </c>
      <c r="D305" s="6" t="n">
        <v>45443</v>
      </c>
      <c r="E305" s="2" t="s">
        <v>64</v>
      </c>
      <c r="F305" s="2" t="s">
        <v>65</v>
      </c>
      <c r="G305" s="2" t="s">
        <v>65</v>
      </c>
      <c r="H305" s="2" t="s">
        <v>49</v>
      </c>
      <c r="I305" s="2" t="s">
        <v>66</v>
      </c>
      <c r="J305" s="2" t="s">
        <v>36</v>
      </c>
      <c r="K305" s="2" t="s">
        <v>67</v>
      </c>
      <c r="L305" s="2" t="n">
        <v>1</v>
      </c>
      <c r="M305" s="2" t="str">
        <f aca="false">IF(L305="","",IF(L305=0,"Low",IF(L305=1,"Medium","High")))</f>
        <v>Medium</v>
      </c>
    </row>
    <row r="306" customFormat="false" ht="15" hidden="false" customHeight="false" outlineLevel="0" collapsed="false">
      <c r="A306" s="2" t="s">
        <v>502</v>
      </c>
      <c r="B306" s="2" t="s">
        <v>501</v>
      </c>
      <c r="C306" s="2" t="s">
        <v>39</v>
      </c>
      <c r="D306" s="6" t="n">
        <v>45808</v>
      </c>
      <c r="E306" s="2" t="s">
        <v>31</v>
      </c>
      <c r="F306" s="2" t="s">
        <v>56</v>
      </c>
      <c r="G306" s="2" t="s">
        <v>33</v>
      </c>
      <c r="H306" s="2" t="s">
        <v>52</v>
      </c>
      <c r="I306" s="2" t="s">
        <v>66</v>
      </c>
      <c r="J306" s="2" t="s">
        <v>36</v>
      </c>
      <c r="K306" s="2" t="s">
        <v>45</v>
      </c>
      <c r="L306" s="2"/>
      <c r="M306" s="2" t="str">
        <f aca="false">IF(L306="","",IF(L306=0,"Low",IF(L306=1,"Medium","High")))</f>
        <v/>
      </c>
    </row>
    <row r="307" customFormat="false" ht="15" hidden="false" customHeight="false" outlineLevel="0" collapsed="false">
      <c r="A307" s="2" t="s">
        <v>503</v>
      </c>
      <c r="B307" s="2" t="s">
        <v>504</v>
      </c>
      <c r="C307" s="2" t="s">
        <v>30</v>
      </c>
      <c r="D307" s="6" t="n">
        <v>45443</v>
      </c>
      <c r="E307" s="2" t="s">
        <v>31</v>
      </c>
      <c r="F307" s="2" t="s">
        <v>32</v>
      </c>
      <c r="G307" s="2" t="s">
        <v>33</v>
      </c>
      <c r="H307" s="2" t="s">
        <v>34</v>
      </c>
      <c r="I307" s="2" t="s">
        <v>86</v>
      </c>
      <c r="J307" s="2" t="s">
        <v>36</v>
      </c>
      <c r="K307" s="2" t="s">
        <v>45</v>
      </c>
      <c r="L307" s="2" t="n">
        <v>1</v>
      </c>
      <c r="M307" s="2" t="str">
        <f aca="false">IF(L307="","",IF(L307=0,"Low",IF(L307=1,"Medium","High")))</f>
        <v>Medium</v>
      </c>
    </row>
    <row r="308" customFormat="false" ht="15" hidden="false" customHeight="false" outlineLevel="0" collapsed="false">
      <c r="A308" s="2" t="s">
        <v>505</v>
      </c>
      <c r="B308" s="2" t="s">
        <v>504</v>
      </c>
      <c r="C308" s="2" t="s">
        <v>39</v>
      </c>
      <c r="D308" s="6" t="n">
        <v>45808</v>
      </c>
      <c r="E308" s="2" t="s">
        <v>60</v>
      </c>
      <c r="F308" s="2" t="s">
        <v>32</v>
      </c>
      <c r="G308" s="2" t="s">
        <v>42</v>
      </c>
      <c r="H308" s="2" t="s">
        <v>43</v>
      </c>
      <c r="I308" s="2" t="s">
        <v>86</v>
      </c>
      <c r="J308" s="2" t="s">
        <v>44</v>
      </c>
      <c r="K308" s="2" t="s">
        <v>57</v>
      </c>
      <c r="L308" s="2" t="n">
        <v>0</v>
      </c>
      <c r="M308" s="2" t="str">
        <f aca="false">IF(L308="","",IF(L308=0,"Low",IF(L308=1,"Medium","High")))</f>
        <v>Low</v>
      </c>
    </row>
    <row r="309" customFormat="false" ht="15" hidden="false" customHeight="false" outlineLevel="0" collapsed="false">
      <c r="A309" s="2" t="s">
        <v>506</v>
      </c>
      <c r="B309" s="2" t="s">
        <v>504</v>
      </c>
      <c r="C309" s="2" t="s">
        <v>47</v>
      </c>
      <c r="D309" s="6" t="n">
        <v>46173</v>
      </c>
      <c r="E309" s="2" t="s">
        <v>60</v>
      </c>
      <c r="F309" s="2" t="s">
        <v>32</v>
      </c>
      <c r="G309" s="2" t="s">
        <v>33</v>
      </c>
      <c r="H309" s="2" t="s">
        <v>49</v>
      </c>
      <c r="I309" s="2" t="s">
        <v>86</v>
      </c>
      <c r="J309" s="2" t="s">
        <v>44</v>
      </c>
      <c r="K309" s="2" t="s">
        <v>57</v>
      </c>
      <c r="L309" s="2"/>
      <c r="M309" s="2" t="str">
        <f aca="false">IF(L309="","",IF(L309=0,"Low",IF(L309=1,"Medium","High")))</f>
        <v/>
      </c>
    </row>
    <row r="310" customFormat="false" ht="15" hidden="false" customHeight="false" outlineLevel="0" collapsed="false">
      <c r="A310" s="2" t="s">
        <v>507</v>
      </c>
      <c r="B310" s="2" t="s">
        <v>508</v>
      </c>
      <c r="C310" s="2" t="s">
        <v>30</v>
      </c>
      <c r="D310" s="6" t="n">
        <v>45443</v>
      </c>
      <c r="E310" s="2" t="s">
        <v>31</v>
      </c>
      <c r="F310" s="2" t="s">
        <v>56</v>
      </c>
      <c r="G310" s="2" t="s">
        <v>33</v>
      </c>
      <c r="H310" s="2" t="s">
        <v>49</v>
      </c>
      <c r="I310" s="2" t="s">
        <v>86</v>
      </c>
      <c r="J310" s="2" t="s">
        <v>36</v>
      </c>
      <c r="K310" s="2" t="s">
        <v>45</v>
      </c>
      <c r="L310" s="2" t="n">
        <v>2</v>
      </c>
      <c r="M310" s="2" t="str">
        <f aca="false">IF(L310="","",IF(L310=0,"Low",IF(L310=1,"Medium","High")))</f>
        <v>High</v>
      </c>
    </row>
    <row r="311" customFormat="false" ht="15" hidden="false" customHeight="false" outlineLevel="0" collapsed="false">
      <c r="A311" s="2" t="s">
        <v>509</v>
      </c>
      <c r="B311" s="2" t="s">
        <v>508</v>
      </c>
      <c r="C311" s="2" t="s">
        <v>39</v>
      </c>
      <c r="D311" s="6" t="n">
        <v>45808</v>
      </c>
      <c r="E311" s="2" t="s">
        <v>60</v>
      </c>
      <c r="F311" s="2" t="s">
        <v>41</v>
      </c>
      <c r="G311" s="2" t="s">
        <v>110</v>
      </c>
      <c r="H311" s="2" t="s">
        <v>52</v>
      </c>
      <c r="I311" s="2" t="s">
        <v>86</v>
      </c>
      <c r="J311" s="2" t="s">
        <v>44</v>
      </c>
      <c r="K311" s="2" t="s">
        <v>45</v>
      </c>
      <c r="L311" s="2"/>
      <c r="M311" s="2" t="str">
        <f aca="false">IF(L311="","",IF(L311=0,"Low",IF(L311=1,"Medium","High")))</f>
        <v/>
      </c>
    </row>
    <row r="312" customFormat="false" ht="15" hidden="false" customHeight="false" outlineLevel="0" collapsed="false">
      <c r="A312" s="2" t="s">
        <v>510</v>
      </c>
      <c r="B312" s="2" t="s">
        <v>511</v>
      </c>
      <c r="C312" s="2" t="s">
        <v>30</v>
      </c>
      <c r="D312" s="6" t="n">
        <v>45443</v>
      </c>
      <c r="E312" s="2" t="s">
        <v>60</v>
      </c>
      <c r="F312" s="2" t="s">
        <v>56</v>
      </c>
      <c r="G312" s="2" t="s">
        <v>42</v>
      </c>
      <c r="H312" s="2" t="s">
        <v>34</v>
      </c>
      <c r="I312" s="2" t="s">
        <v>53</v>
      </c>
      <c r="J312" s="2" t="s">
        <v>44</v>
      </c>
      <c r="K312" s="2" t="s">
        <v>37</v>
      </c>
      <c r="L312" s="2" t="n">
        <v>3</v>
      </c>
      <c r="M312" s="2" t="str">
        <f aca="false">IF(L312="","",IF(L312=0,"Low",IF(L312=1,"Medium","High")))</f>
        <v>High</v>
      </c>
    </row>
    <row r="313" customFormat="false" ht="15" hidden="false" customHeight="false" outlineLevel="0" collapsed="false">
      <c r="A313" s="2" t="s">
        <v>512</v>
      </c>
      <c r="B313" s="2" t="s">
        <v>511</v>
      </c>
      <c r="C313" s="2" t="s">
        <v>39</v>
      </c>
      <c r="D313" s="6" t="n">
        <v>45808</v>
      </c>
      <c r="E313" s="2" t="s">
        <v>40</v>
      </c>
      <c r="F313" s="2" t="s">
        <v>41</v>
      </c>
      <c r="G313" s="2" t="s">
        <v>110</v>
      </c>
      <c r="H313" s="2" t="s">
        <v>43</v>
      </c>
      <c r="I313" s="2" t="s">
        <v>53</v>
      </c>
      <c r="J313" s="2" t="s">
        <v>44</v>
      </c>
      <c r="K313" s="2" t="s">
        <v>37</v>
      </c>
      <c r="L313" s="2"/>
      <c r="M313" s="2" t="str">
        <f aca="false">IF(L313="","",IF(L313=0,"Low",IF(L313=1,"Medium","High")))</f>
        <v/>
      </c>
    </row>
    <row r="314" customFormat="false" ht="15" hidden="false" customHeight="false" outlineLevel="0" collapsed="false">
      <c r="A314" s="2" t="s">
        <v>513</v>
      </c>
      <c r="B314" s="2" t="s">
        <v>514</v>
      </c>
      <c r="C314" s="2" t="s">
        <v>30</v>
      </c>
      <c r="D314" s="6" t="n">
        <v>45443</v>
      </c>
      <c r="E314" s="2" t="s">
        <v>31</v>
      </c>
      <c r="F314" s="2" t="s">
        <v>32</v>
      </c>
      <c r="G314" s="2" t="s">
        <v>42</v>
      </c>
      <c r="H314" s="2" t="s">
        <v>43</v>
      </c>
      <c r="I314" s="2" t="s">
        <v>86</v>
      </c>
      <c r="J314" s="2" t="s">
        <v>36</v>
      </c>
      <c r="K314" s="2" t="s">
        <v>37</v>
      </c>
      <c r="L314" s="2" t="n">
        <v>0</v>
      </c>
      <c r="M314" s="2" t="str">
        <f aca="false">IF(L314="","",IF(L314=0,"Low",IF(L314=1,"Medium","High")))</f>
        <v>Low</v>
      </c>
    </row>
    <row r="315" customFormat="false" ht="15" hidden="false" customHeight="false" outlineLevel="0" collapsed="false">
      <c r="A315" s="2" t="s">
        <v>515</v>
      </c>
      <c r="B315" s="2" t="s">
        <v>514</v>
      </c>
      <c r="C315" s="2" t="s">
        <v>39</v>
      </c>
      <c r="D315" s="6" t="n">
        <v>45808</v>
      </c>
      <c r="E315" s="2" t="s">
        <v>31</v>
      </c>
      <c r="F315" s="2" t="s">
        <v>32</v>
      </c>
      <c r="G315" s="2" t="s">
        <v>33</v>
      </c>
      <c r="H315" s="2" t="s">
        <v>49</v>
      </c>
      <c r="I315" s="2" t="s">
        <v>86</v>
      </c>
      <c r="J315" s="2" t="s">
        <v>36</v>
      </c>
      <c r="K315" s="2" t="s">
        <v>37</v>
      </c>
      <c r="L315" s="2" t="n">
        <v>0</v>
      </c>
      <c r="M315" s="2" t="str">
        <f aca="false">IF(L315="","",IF(L315=0,"Low",IF(L315=1,"Medium","High")))</f>
        <v>Low</v>
      </c>
    </row>
    <row r="316" customFormat="false" ht="15" hidden="false" customHeight="false" outlineLevel="0" collapsed="false">
      <c r="A316" s="2" t="s">
        <v>516</v>
      </c>
      <c r="B316" s="2" t="s">
        <v>514</v>
      </c>
      <c r="C316" s="2" t="s">
        <v>47</v>
      </c>
      <c r="D316" s="6" t="n">
        <v>46173</v>
      </c>
      <c r="E316" s="2" t="s">
        <v>31</v>
      </c>
      <c r="F316" s="2" t="s">
        <v>32</v>
      </c>
      <c r="G316" s="2" t="s">
        <v>33</v>
      </c>
      <c r="H316" s="2" t="s">
        <v>52</v>
      </c>
      <c r="I316" s="2" t="s">
        <v>86</v>
      </c>
      <c r="J316" s="2" t="s">
        <v>36</v>
      </c>
      <c r="K316" s="2" t="s">
        <v>37</v>
      </c>
      <c r="L316" s="2"/>
      <c r="M316" s="2" t="str">
        <f aca="false">IF(L316="","",IF(L316=0,"Low",IF(L316=1,"Medium","High")))</f>
        <v/>
      </c>
    </row>
    <row r="317" customFormat="false" ht="15" hidden="false" customHeight="false" outlineLevel="0" collapsed="false">
      <c r="A317" s="2" t="s">
        <v>517</v>
      </c>
      <c r="B317" s="2" t="s">
        <v>518</v>
      </c>
      <c r="C317" s="2" t="s">
        <v>30</v>
      </c>
      <c r="D317" s="6" t="n">
        <v>45443</v>
      </c>
      <c r="E317" s="2" t="s">
        <v>64</v>
      </c>
      <c r="F317" s="2" t="s">
        <v>65</v>
      </c>
      <c r="G317" s="2" t="s">
        <v>65</v>
      </c>
      <c r="H317" s="2" t="s">
        <v>34</v>
      </c>
      <c r="I317" s="2" t="s">
        <v>35</v>
      </c>
      <c r="J317" s="2" t="s">
        <v>36</v>
      </c>
      <c r="K317" s="2" t="s">
        <v>67</v>
      </c>
      <c r="L317" s="2" t="n">
        <v>0</v>
      </c>
      <c r="M317" s="2" t="str">
        <f aca="false">IF(L317="","",IF(L317=0,"Low",IF(L317=1,"Medium","High")))</f>
        <v>Low</v>
      </c>
    </row>
    <row r="318" customFormat="false" ht="15" hidden="false" customHeight="false" outlineLevel="0" collapsed="false">
      <c r="A318" s="2" t="s">
        <v>519</v>
      </c>
      <c r="B318" s="2" t="s">
        <v>518</v>
      </c>
      <c r="C318" s="2" t="s">
        <v>39</v>
      </c>
      <c r="D318" s="6" t="n">
        <v>45808</v>
      </c>
      <c r="E318" s="2" t="s">
        <v>64</v>
      </c>
      <c r="F318" s="2" t="s">
        <v>65</v>
      </c>
      <c r="G318" s="2" t="s">
        <v>65</v>
      </c>
      <c r="H318" s="2" t="s">
        <v>43</v>
      </c>
      <c r="I318" s="2" t="s">
        <v>35</v>
      </c>
      <c r="J318" s="2" t="s">
        <v>36</v>
      </c>
      <c r="K318" s="2" t="s">
        <v>67</v>
      </c>
      <c r="L318" s="2" t="n">
        <v>1</v>
      </c>
      <c r="M318" s="2" t="str">
        <f aca="false">IF(L318="","",IF(L318=0,"Low",IF(L318=1,"Medium","High")))</f>
        <v>Medium</v>
      </c>
    </row>
    <row r="319" customFormat="false" ht="15" hidden="false" customHeight="false" outlineLevel="0" collapsed="false">
      <c r="A319" s="2" t="s">
        <v>520</v>
      </c>
      <c r="B319" s="2" t="s">
        <v>518</v>
      </c>
      <c r="C319" s="2" t="s">
        <v>47</v>
      </c>
      <c r="D319" s="6" t="n">
        <v>46173</v>
      </c>
      <c r="E319" s="2" t="s">
        <v>31</v>
      </c>
      <c r="F319" s="2" t="s">
        <v>56</v>
      </c>
      <c r="G319" s="2" t="s">
        <v>33</v>
      </c>
      <c r="H319" s="2" t="s">
        <v>49</v>
      </c>
      <c r="I319" s="2" t="s">
        <v>35</v>
      </c>
      <c r="J319" s="2" t="s">
        <v>36</v>
      </c>
      <c r="K319" s="2" t="s">
        <v>45</v>
      </c>
      <c r="L319" s="2"/>
      <c r="M319" s="2" t="str">
        <f aca="false">IF(L319="","",IF(L319=0,"Low",IF(L319=1,"Medium","High")))</f>
        <v/>
      </c>
    </row>
    <row r="320" customFormat="false" ht="15" hidden="false" customHeight="false" outlineLevel="0" collapsed="false">
      <c r="A320" s="2" t="s">
        <v>521</v>
      </c>
      <c r="B320" s="2" t="s">
        <v>522</v>
      </c>
      <c r="C320" s="2" t="s">
        <v>30</v>
      </c>
      <c r="D320" s="6" t="n">
        <v>45443</v>
      </c>
      <c r="E320" s="2" t="s">
        <v>40</v>
      </c>
      <c r="F320" s="2" t="s">
        <v>32</v>
      </c>
      <c r="G320" s="2" t="s">
        <v>42</v>
      </c>
      <c r="H320" s="2" t="s">
        <v>34</v>
      </c>
      <c r="I320" s="2" t="s">
        <v>35</v>
      </c>
      <c r="J320" s="2" t="s">
        <v>79</v>
      </c>
      <c r="K320" s="2" t="s">
        <v>37</v>
      </c>
      <c r="L320" s="2" t="n">
        <v>2</v>
      </c>
      <c r="M320" s="2" t="str">
        <f aca="false">IF(L320="","",IF(L320=0,"Low",IF(L320=1,"Medium","High")))</f>
        <v>High</v>
      </c>
    </row>
    <row r="321" customFormat="false" ht="15" hidden="false" customHeight="false" outlineLevel="0" collapsed="false">
      <c r="A321" s="2" t="s">
        <v>523</v>
      </c>
      <c r="B321" s="2" t="s">
        <v>522</v>
      </c>
      <c r="C321" s="2" t="s">
        <v>39</v>
      </c>
      <c r="D321" s="6" t="n">
        <v>45808</v>
      </c>
      <c r="E321" s="2" t="s">
        <v>40</v>
      </c>
      <c r="F321" s="2" t="s">
        <v>32</v>
      </c>
      <c r="G321" s="2" t="s">
        <v>110</v>
      </c>
      <c r="H321" s="2" t="s">
        <v>43</v>
      </c>
      <c r="I321" s="2" t="s">
        <v>35</v>
      </c>
      <c r="J321" s="2" t="s">
        <v>44</v>
      </c>
      <c r="K321" s="2" t="s">
        <v>37</v>
      </c>
      <c r="L321" s="2" t="n">
        <v>1</v>
      </c>
      <c r="M321" s="2" t="str">
        <f aca="false">IF(L321="","",IF(L321=0,"Low",IF(L321=1,"Medium","High")))</f>
        <v>Medium</v>
      </c>
    </row>
    <row r="322" customFormat="false" ht="15" hidden="false" customHeight="false" outlineLevel="0" collapsed="false">
      <c r="A322" s="2" t="s">
        <v>524</v>
      </c>
      <c r="B322" s="2" t="s">
        <v>522</v>
      </c>
      <c r="C322" s="2" t="s">
        <v>47</v>
      </c>
      <c r="D322" s="6" t="n">
        <v>46173</v>
      </c>
      <c r="E322" s="2" t="s">
        <v>40</v>
      </c>
      <c r="F322" s="2" t="s">
        <v>32</v>
      </c>
      <c r="G322" s="2" t="s">
        <v>42</v>
      </c>
      <c r="H322" s="2" t="s">
        <v>49</v>
      </c>
      <c r="I322" s="2" t="s">
        <v>35</v>
      </c>
      <c r="J322" s="2" t="s">
        <v>44</v>
      </c>
      <c r="K322" s="2" t="s">
        <v>57</v>
      </c>
      <c r="L322" s="2"/>
      <c r="M322" s="2" t="str">
        <f aca="false">IF(L322="","",IF(L322=0,"Low",IF(L322=1,"Medium","High")))</f>
        <v/>
      </c>
    </row>
    <row r="323" customFormat="false" ht="15" hidden="false" customHeight="false" outlineLevel="0" collapsed="false">
      <c r="A323" s="2" t="s">
        <v>525</v>
      </c>
      <c r="B323" s="2" t="s">
        <v>526</v>
      </c>
      <c r="C323" s="2" t="s">
        <v>30</v>
      </c>
      <c r="D323" s="6" t="n">
        <v>45443</v>
      </c>
      <c r="E323" s="2" t="s">
        <v>60</v>
      </c>
      <c r="F323" s="2" t="s">
        <v>32</v>
      </c>
      <c r="G323" s="2" t="s">
        <v>42</v>
      </c>
      <c r="H323" s="2" t="s">
        <v>52</v>
      </c>
      <c r="I323" s="2" t="s">
        <v>35</v>
      </c>
      <c r="J323" s="2" t="s">
        <v>44</v>
      </c>
      <c r="K323" s="2" t="s">
        <v>45</v>
      </c>
      <c r="L323" s="2"/>
      <c r="M323" s="2" t="str">
        <f aca="false">IF(L323="","",IF(L323=0,"Low",IF(L323=1,"Medium","High")))</f>
        <v/>
      </c>
    </row>
    <row r="324" customFormat="false" ht="15" hidden="false" customHeight="false" outlineLevel="0" collapsed="false">
      <c r="A324" s="2" t="s">
        <v>527</v>
      </c>
      <c r="B324" s="2" t="s">
        <v>528</v>
      </c>
      <c r="C324" s="2" t="s">
        <v>30</v>
      </c>
      <c r="D324" s="6" t="n">
        <v>45443</v>
      </c>
      <c r="E324" s="2" t="s">
        <v>40</v>
      </c>
      <c r="F324" s="2" t="s">
        <v>41</v>
      </c>
      <c r="G324" s="2" t="s">
        <v>48</v>
      </c>
      <c r="H324" s="2" t="s">
        <v>43</v>
      </c>
      <c r="I324" s="2" t="s">
        <v>35</v>
      </c>
      <c r="J324" s="2" t="s">
        <v>79</v>
      </c>
      <c r="K324" s="2" t="s">
        <v>57</v>
      </c>
      <c r="L324" s="2" t="n">
        <v>1</v>
      </c>
      <c r="M324" s="2" t="str">
        <f aca="false">IF(L324="","",IF(L324=0,"Low",IF(L324=1,"Medium","High")))</f>
        <v>Medium</v>
      </c>
    </row>
    <row r="325" customFormat="false" ht="15" hidden="false" customHeight="false" outlineLevel="0" collapsed="false">
      <c r="A325" s="2" t="s">
        <v>529</v>
      </c>
      <c r="B325" s="2" t="s">
        <v>528</v>
      </c>
      <c r="C325" s="2" t="s">
        <v>39</v>
      </c>
      <c r="D325" s="6" t="n">
        <v>45808</v>
      </c>
      <c r="E325" s="2" t="s">
        <v>40</v>
      </c>
      <c r="F325" s="2" t="s">
        <v>41</v>
      </c>
      <c r="G325" s="2" t="s">
        <v>33</v>
      </c>
      <c r="H325" s="2" t="s">
        <v>49</v>
      </c>
      <c r="I325" s="2" t="s">
        <v>35</v>
      </c>
      <c r="J325" s="2" t="s">
        <v>79</v>
      </c>
      <c r="K325" s="2" t="s">
        <v>67</v>
      </c>
      <c r="L325" s="2" t="n">
        <v>0</v>
      </c>
      <c r="M325" s="2" t="str">
        <f aca="false">IF(L325="","",IF(L325=0,"Low",IF(L325=1,"Medium","High")))</f>
        <v>Low</v>
      </c>
    </row>
    <row r="326" customFormat="false" ht="15" hidden="false" customHeight="false" outlineLevel="0" collapsed="false">
      <c r="A326" s="2" t="s">
        <v>530</v>
      </c>
      <c r="B326" s="2" t="s">
        <v>528</v>
      </c>
      <c r="C326" s="2" t="s">
        <v>47</v>
      </c>
      <c r="D326" s="6" t="n">
        <v>46173</v>
      </c>
      <c r="E326" s="2" t="s">
        <v>40</v>
      </c>
      <c r="F326" s="2" t="s">
        <v>41</v>
      </c>
      <c r="G326" s="2" t="s">
        <v>33</v>
      </c>
      <c r="H326" s="2" t="s">
        <v>52</v>
      </c>
      <c r="I326" s="2" t="s">
        <v>35</v>
      </c>
      <c r="J326" s="2" t="s">
        <v>79</v>
      </c>
      <c r="K326" s="2" t="s">
        <v>67</v>
      </c>
      <c r="L326" s="2"/>
      <c r="M326" s="2" t="str">
        <f aca="false">IF(L326="","",IF(L326=0,"Low",IF(L326=1,"Medium","High")))</f>
        <v/>
      </c>
    </row>
    <row r="327" customFormat="false" ht="15" hidden="false" customHeight="false" outlineLevel="0" collapsed="false">
      <c r="A327" s="2" t="s">
        <v>531</v>
      </c>
      <c r="B327" s="2" t="s">
        <v>532</v>
      </c>
      <c r="C327" s="2" t="s">
        <v>30</v>
      </c>
      <c r="D327" s="6" t="n">
        <v>45443</v>
      </c>
      <c r="E327" s="2" t="s">
        <v>64</v>
      </c>
      <c r="F327" s="2" t="s">
        <v>65</v>
      </c>
      <c r="G327" s="2" t="s">
        <v>65</v>
      </c>
      <c r="H327" s="2" t="s">
        <v>34</v>
      </c>
      <c r="I327" s="2" t="s">
        <v>35</v>
      </c>
      <c r="J327" s="2" t="s">
        <v>36</v>
      </c>
      <c r="K327" s="2" t="s">
        <v>67</v>
      </c>
      <c r="L327" s="2" t="n">
        <v>1</v>
      </c>
      <c r="M327" s="2" t="str">
        <f aca="false">IF(L327="","",IF(L327=0,"Low",IF(L327=1,"Medium","High")))</f>
        <v>Medium</v>
      </c>
    </row>
    <row r="328" customFormat="false" ht="15" hidden="false" customHeight="false" outlineLevel="0" collapsed="false">
      <c r="A328" s="2" t="s">
        <v>533</v>
      </c>
      <c r="B328" s="2" t="s">
        <v>532</v>
      </c>
      <c r="C328" s="2" t="s">
        <v>39</v>
      </c>
      <c r="D328" s="6" t="n">
        <v>45808</v>
      </c>
      <c r="E328" s="2" t="s">
        <v>31</v>
      </c>
      <c r="F328" s="2" t="s">
        <v>32</v>
      </c>
      <c r="G328" s="2" t="s">
        <v>42</v>
      </c>
      <c r="H328" s="2" t="s">
        <v>43</v>
      </c>
      <c r="I328" s="2" t="s">
        <v>35</v>
      </c>
      <c r="J328" s="2" t="s">
        <v>36</v>
      </c>
      <c r="K328" s="2" t="s">
        <v>57</v>
      </c>
      <c r="L328" s="2" t="n">
        <v>0</v>
      </c>
      <c r="M328" s="2" t="str">
        <f aca="false">IF(L328="","",IF(L328=0,"Low",IF(L328=1,"Medium","High")))</f>
        <v>Low</v>
      </c>
    </row>
    <row r="329" customFormat="false" ht="15" hidden="false" customHeight="false" outlineLevel="0" collapsed="false">
      <c r="A329" s="2" t="s">
        <v>534</v>
      </c>
      <c r="B329" s="2" t="s">
        <v>532</v>
      </c>
      <c r="C329" s="2" t="s">
        <v>47</v>
      </c>
      <c r="D329" s="6" t="n">
        <v>46173</v>
      </c>
      <c r="E329" s="2" t="s">
        <v>31</v>
      </c>
      <c r="F329" s="2" t="s">
        <v>32</v>
      </c>
      <c r="G329" s="2" t="s">
        <v>33</v>
      </c>
      <c r="H329" s="2" t="s">
        <v>49</v>
      </c>
      <c r="I329" s="2" t="s">
        <v>35</v>
      </c>
      <c r="J329" s="2" t="s">
        <v>36</v>
      </c>
      <c r="K329" s="2" t="s">
        <v>57</v>
      </c>
      <c r="L329" s="2"/>
      <c r="M329" s="2" t="str">
        <f aca="false">IF(L329="","",IF(L329=0,"Low",IF(L329=1,"Medium","High")))</f>
        <v/>
      </c>
    </row>
    <row r="330" customFormat="false" ht="15" hidden="false" customHeight="false" outlineLevel="0" collapsed="false">
      <c r="A330" s="2" t="s">
        <v>535</v>
      </c>
      <c r="B330" s="2" t="s">
        <v>536</v>
      </c>
      <c r="C330" s="2" t="s">
        <v>30</v>
      </c>
      <c r="D330" s="6" t="n">
        <v>45443</v>
      </c>
      <c r="E330" s="2" t="s">
        <v>31</v>
      </c>
      <c r="F330" s="2" t="s">
        <v>56</v>
      </c>
      <c r="G330" s="2" t="s">
        <v>42</v>
      </c>
      <c r="H330" s="2" t="s">
        <v>43</v>
      </c>
      <c r="I330" s="2" t="s">
        <v>86</v>
      </c>
      <c r="J330" s="2" t="s">
        <v>36</v>
      </c>
      <c r="K330" s="2" t="s">
        <v>45</v>
      </c>
      <c r="L330" s="2" t="n">
        <v>2</v>
      </c>
      <c r="M330" s="2" t="str">
        <f aca="false">IF(L330="","",IF(L330=0,"Low",IF(L330=1,"Medium","High")))</f>
        <v>High</v>
      </c>
    </row>
    <row r="331" customFormat="false" ht="15" hidden="false" customHeight="false" outlineLevel="0" collapsed="false">
      <c r="A331" s="2" t="s">
        <v>537</v>
      </c>
      <c r="B331" s="2" t="s">
        <v>536</v>
      </c>
      <c r="C331" s="2" t="s">
        <v>39</v>
      </c>
      <c r="D331" s="6" t="n">
        <v>45808</v>
      </c>
      <c r="E331" s="2" t="s">
        <v>60</v>
      </c>
      <c r="F331" s="2" t="s">
        <v>41</v>
      </c>
      <c r="G331" s="2" t="s">
        <v>42</v>
      </c>
      <c r="H331" s="2" t="s">
        <v>49</v>
      </c>
      <c r="I331" s="2" t="s">
        <v>86</v>
      </c>
      <c r="J331" s="2" t="s">
        <v>44</v>
      </c>
      <c r="K331" s="2" t="s">
        <v>37</v>
      </c>
      <c r="L331" s="2"/>
      <c r="M331" s="2" t="str">
        <f aca="false">IF(L331="","",IF(L331=0,"Low",IF(L331=1,"Medium","High")))</f>
        <v/>
      </c>
    </row>
    <row r="332" customFormat="false" ht="15" hidden="false" customHeight="false" outlineLevel="0" collapsed="false">
      <c r="A332" s="2" t="s">
        <v>538</v>
      </c>
      <c r="B332" s="2" t="s">
        <v>539</v>
      </c>
      <c r="C332" s="2" t="s">
        <v>30</v>
      </c>
      <c r="D332" s="6" t="n">
        <v>45443</v>
      </c>
      <c r="E332" s="2" t="s">
        <v>64</v>
      </c>
      <c r="F332" s="2" t="s">
        <v>65</v>
      </c>
      <c r="G332" s="2" t="s">
        <v>65</v>
      </c>
      <c r="H332" s="2" t="s">
        <v>49</v>
      </c>
      <c r="I332" s="2" t="s">
        <v>35</v>
      </c>
      <c r="J332" s="2" t="s">
        <v>36</v>
      </c>
      <c r="K332" s="2" t="s">
        <v>67</v>
      </c>
      <c r="L332" s="2" t="n">
        <v>0</v>
      </c>
      <c r="M332" s="2" t="str">
        <f aca="false">IF(L332="","",IF(L332=0,"Low",IF(L332=1,"Medium","High")))</f>
        <v>Low</v>
      </c>
    </row>
    <row r="333" customFormat="false" ht="15" hidden="false" customHeight="false" outlineLevel="0" collapsed="false">
      <c r="A333" s="2" t="s">
        <v>540</v>
      </c>
      <c r="B333" s="2" t="s">
        <v>539</v>
      </c>
      <c r="C333" s="2" t="s">
        <v>39</v>
      </c>
      <c r="D333" s="6" t="n">
        <v>45808</v>
      </c>
      <c r="E333" s="2" t="s">
        <v>64</v>
      </c>
      <c r="F333" s="2" t="s">
        <v>65</v>
      </c>
      <c r="G333" s="2" t="s">
        <v>65</v>
      </c>
      <c r="H333" s="2" t="s">
        <v>52</v>
      </c>
      <c r="I333" s="2" t="s">
        <v>35</v>
      </c>
      <c r="J333" s="2" t="s">
        <v>36</v>
      </c>
      <c r="K333" s="2" t="s">
        <v>67</v>
      </c>
      <c r="L333" s="2"/>
      <c r="M333" s="2" t="str">
        <f aca="false">IF(L333="","",IF(L333=0,"Low",IF(L333=1,"Medium","High")))</f>
        <v/>
      </c>
    </row>
    <row r="334" customFormat="false" ht="15" hidden="false" customHeight="false" outlineLevel="0" collapsed="false">
      <c r="A334" s="2" t="s">
        <v>541</v>
      </c>
      <c r="B334" s="2" t="s">
        <v>542</v>
      </c>
      <c r="C334" s="2" t="s">
        <v>30</v>
      </c>
      <c r="D334" s="6" t="n">
        <v>45443</v>
      </c>
      <c r="E334" s="2" t="s">
        <v>64</v>
      </c>
      <c r="F334" s="2" t="s">
        <v>65</v>
      </c>
      <c r="G334" s="2" t="s">
        <v>65</v>
      </c>
      <c r="H334" s="2" t="s">
        <v>34</v>
      </c>
      <c r="I334" s="2" t="s">
        <v>53</v>
      </c>
      <c r="J334" s="2" t="s">
        <v>36</v>
      </c>
      <c r="K334" s="2" t="s">
        <v>67</v>
      </c>
      <c r="L334" s="2" t="n">
        <v>1</v>
      </c>
      <c r="M334" s="2" t="str">
        <f aca="false">IF(L334="","",IF(L334=0,"Low",IF(L334=1,"Medium","High")))</f>
        <v>Medium</v>
      </c>
    </row>
    <row r="335" customFormat="false" ht="15" hidden="false" customHeight="false" outlineLevel="0" collapsed="false">
      <c r="A335" s="2" t="s">
        <v>543</v>
      </c>
      <c r="B335" s="2" t="s">
        <v>542</v>
      </c>
      <c r="C335" s="2" t="s">
        <v>39</v>
      </c>
      <c r="D335" s="6" t="n">
        <v>45808</v>
      </c>
      <c r="E335" s="2" t="s">
        <v>31</v>
      </c>
      <c r="F335" s="2" t="s">
        <v>56</v>
      </c>
      <c r="G335" s="2" t="s">
        <v>42</v>
      </c>
      <c r="H335" s="2" t="s">
        <v>43</v>
      </c>
      <c r="I335" s="2" t="s">
        <v>53</v>
      </c>
      <c r="J335" s="2" t="s">
        <v>36</v>
      </c>
      <c r="K335" s="2" t="s">
        <v>45</v>
      </c>
      <c r="L335" s="2" t="n">
        <v>1</v>
      </c>
      <c r="M335" s="2" t="str">
        <f aca="false">IF(L335="","",IF(L335=0,"Low",IF(L335=1,"Medium","High")))</f>
        <v>Medium</v>
      </c>
    </row>
    <row r="336" customFormat="false" ht="15" hidden="false" customHeight="false" outlineLevel="0" collapsed="false">
      <c r="A336" s="2" t="s">
        <v>544</v>
      </c>
      <c r="B336" s="2" t="s">
        <v>542</v>
      </c>
      <c r="C336" s="2" t="s">
        <v>47</v>
      </c>
      <c r="D336" s="6" t="n">
        <v>46173</v>
      </c>
      <c r="E336" s="2" t="s">
        <v>60</v>
      </c>
      <c r="F336" s="2" t="s">
        <v>41</v>
      </c>
      <c r="G336" s="2" t="s">
        <v>42</v>
      </c>
      <c r="H336" s="2" t="s">
        <v>49</v>
      </c>
      <c r="I336" s="2" t="s">
        <v>53</v>
      </c>
      <c r="J336" s="2" t="s">
        <v>44</v>
      </c>
      <c r="K336" s="2" t="s">
        <v>45</v>
      </c>
      <c r="L336" s="2"/>
      <c r="M336" s="2" t="str">
        <f aca="false">IF(L336="","",IF(L336=0,"Low",IF(L336=1,"Medium","High")))</f>
        <v/>
      </c>
    </row>
    <row r="337" customFormat="false" ht="15" hidden="false" customHeight="false" outlineLevel="0" collapsed="false">
      <c r="A337" s="2" t="s">
        <v>545</v>
      </c>
      <c r="B337" s="2" t="s">
        <v>546</v>
      </c>
      <c r="C337" s="2" t="s">
        <v>30</v>
      </c>
      <c r="D337" s="6" t="n">
        <v>45443</v>
      </c>
      <c r="E337" s="2" t="s">
        <v>31</v>
      </c>
      <c r="F337" s="2" t="s">
        <v>32</v>
      </c>
      <c r="G337" s="2" t="s">
        <v>42</v>
      </c>
      <c r="H337" s="2" t="s">
        <v>43</v>
      </c>
      <c r="I337" s="2" t="s">
        <v>66</v>
      </c>
      <c r="J337" s="2" t="s">
        <v>36</v>
      </c>
      <c r="K337" s="2" t="s">
        <v>45</v>
      </c>
      <c r="L337" s="2" t="n">
        <v>0</v>
      </c>
      <c r="M337" s="2" t="str">
        <f aca="false">IF(L337="","",IF(L337=0,"Low",IF(L337=1,"Medium","High")))</f>
        <v>Low</v>
      </c>
    </row>
    <row r="338" customFormat="false" ht="15" hidden="false" customHeight="false" outlineLevel="0" collapsed="false">
      <c r="A338" s="2" t="s">
        <v>547</v>
      </c>
      <c r="B338" s="2" t="s">
        <v>546</v>
      </c>
      <c r="C338" s="2" t="s">
        <v>39</v>
      </c>
      <c r="D338" s="6" t="n">
        <v>45808</v>
      </c>
      <c r="E338" s="2" t="s">
        <v>31</v>
      </c>
      <c r="F338" s="2" t="s">
        <v>32</v>
      </c>
      <c r="G338" s="2" t="s">
        <v>33</v>
      </c>
      <c r="H338" s="2" t="s">
        <v>49</v>
      </c>
      <c r="I338" s="2" t="s">
        <v>66</v>
      </c>
      <c r="J338" s="2" t="s">
        <v>36</v>
      </c>
      <c r="K338" s="2" t="s">
        <v>45</v>
      </c>
      <c r="L338" s="2" t="n">
        <v>0</v>
      </c>
      <c r="M338" s="2" t="str">
        <f aca="false">IF(L338="","",IF(L338=0,"Low",IF(L338=1,"Medium","High")))</f>
        <v>Low</v>
      </c>
    </row>
    <row r="339" customFormat="false" ht="15" hidden="false" customHeight="false" outlineLevel="0" collapsed="false">
      <c r="A339" s="2" t="s">
        <v>548</v>
      </c>
      <c r="B339" s="2" t="s">
        <v>546</v>
      </c>
      <c r="C339" s="2" t="s">
        <v>47</v>
      </c>
      <c r="D339" s="6" t="n">
        <v>46173</v>
      </c>
      <c r="E339" s="2" t="s">
        <v>31</v>
      </c>
      <c r="F339" s="2" t="s">
        <v>32</v>
      </c>
      <c r="G339" s="2" t="s">
        <v>33</v>
      </c>
      <c r="H339" s="2" t="s">
        <v>52</v>
      </c>
      <c r="I339" s="2" t="s">
        <v>66</v>
      </c>
      <c r="J339" s="2" t="s">
        <v>36</v>
      </c>
      <c r="K339" s="2" t="s">
        <v>45</v>
      </c>
      <c r="L339" s="2"/>
      <c r="M339" s="2" t="str">
        <f aca="false">IF(L339="","",IF(L339=0,"Low",IF(L339=1,"Medium","High")))</f>
        <v/>
      </c>
    </row>
    <row r="340" customFormat="false" ht="15" hidden="false" customHeight="false" outlineLevel="0" collapsed="false">
      <c r="A340" s="2" t="s">
        <v>549</v>
      </c>
      <c r="B340" s="2" t="s">
        <v>550</v>
      </c>
      <c r="C340" s="2" t="s">
        <v>30</v>
      </c>
      <c r="D340" s="6" t="n">
        <v>45443</v>
      </c>
      <c r="E340" s="2" t="s">
        <v>64</v>
      </c>
      <c r="F340" s="2" t="s">
        <v>65</v>
      </c>
      <c r="G340" s="2" t="s">
        <v>65</v>
      </c>
      <c r="H340" s="2" t="s">
        <v>43</v>
      </c>
      <c r="I340" s="2" t="s">
        <v>35</v>
      </c>
      <c r="J340" s="2" t="s">
        <v>36</v>
      </c>
      <c r="K340" s="2" t="s">
        <v>67</v>
      </c>
      <c r="L340" s="2" t="n">
        <v>0</v>
      </c>
      <c r="M340" s="2" t="str">
        <f aca="false">IF(L340="","",IF(L340=0,"Low",IF(L340=1,"Medium","High")))</f>
        <v>Low</v>
      </c>
    </row>
    <row r="341" customFormat="false" ht="15" hidden="false" customHeight="false" outlineLevel="0" collapsed="false">
      <c r="A341" s="2" t="s">
        <v>551</v>
      </c>
      <c r="B341" s="2" t="s">
        <v>550</v>
      </c>
      <c r="C341" s="2" t="s">
        <v>39</v>
      </c>
      <c r="D341" s="6" t="n">
        <v>45808</v>
      </c>
      <c r="E341" s="2" t="s">
        <v>64</v>
      </c>
      <c r="F341" s="2" t="s">
        <v>65</v>
      </c>
      <c r="G341" s="2" t="s">
        <v>65</v>
      </c>
      <c r="H341" s="2" t="s">
        <v>49</v>
      </c>
      <c r="I341" s="2" t="s">
        <v>35</v>
      </c>
      <c r="J341" s="2" t="s">
        <v>36</v>
      </c>
      <c r="K341" s="2" t="s">
        <v>67</v>
      </c>
      <c r="L341" s="2" t="n">
        <v>0</v>
      </c>
      <c r="M341" s="2" t="str">
        <f aca="false">IF(L341="","",IF(L341=0,"Low",IF(L341=1,"Medium","High")))</f>
        <v>Low</v>
      </c>
    </row>
    <row r="342" customFormat="false" ht="15" hidden="false" customHeight="false" outlineLevel="0" collapsed="false">
      <c r="A342" s="2" t="s">
        <v>552</v>
      </c>
      <c r="B342" s="2" t="s">
        <v>550</v>
      </c>
      <c r="C342" s="2" t="s">
        <v>47</v>
      </c>
      <c r="D342" s="6" t="n">
        <v>46173</v>
      </c>
      <c r="E342" s="2" t="s">
        <v>64</v>
      </c>
      <c r="F342" s="2" t="s">
        <v>65</v>
      </c>
      <c r="G342" s="2" t="s">
        <v>65</v>
      </c>
      <c r="H342" s="2" t="s">
        <v>52</v>
      </c>
      <c r="I342" s="2" t="s">
        <v>35</v>
      </c>
      <c r="J342" s="2" t="s">
        <v>36</v>
      </c>
      <c r="K342" s="2" t="s">
        <v>67</v>
      </c>
      <c r="L342" s="2"/>
      <c r="M342" s="2" t="str">
        <f aca="false">IF(L342="","",IF(L342=0,"Low",IF(L342=1,"Medium","High")))</f>
        <v/>
      </c>
    </row>
    <row r="343" customFormat="false" ht="15" hidden="false" customHeight="false" outlineLevel="0" collapsed="false">
      <c r="A343" s="2" t="s">
        <v>553</v>
      </c>
      <c r="B343" s="2" t="s">
        <v>554</v>
      </c>
      <c r="C343" s="2" t="s">
        <v>30</v>
      </c>
      <c r="D343" s="6" t="n">
        <v>45443</v>
      </c>
      <c r="E343" s="2" t="s">
        <v>60</v>
      </c>
      <c r="F343" s="2" t="s">
        <v>32</v>
      </c>
      <c r="G343" s="2" t="s">
        <v>33</v>
      </c>
      <c r="H343" s="2" t="s">
        <v>43</v>
      </c>
      <c r="I343" s="2" t="s">
        <v>86</v>
      </c>
      <c r="J343" s="2" t="s">
        <v>79</v>
      </c>
      <c r="K343" s="2" t="s">
        <v>67</v>
      </c>
      <c r="L343" s="2" t="n">
        <v>2</v>
      </c>
      <c r="M343" s="2" t="str">
        <f aca="false">IF(L343="","",IF(L343=0,"Low",IF(L343=1,"Medium","High")))</f>
        <v>High</v>
      </c>
    </row>
    <row r="344" customFormat="false" ht="15" hidden="false" customHeight="false" outlineLevel="0" collapsed="false">
      <c r="A344" s="2" t="s">
        <v>555</v>
      </c>
      <c r="B344" s="2" t="s">
        <v>554</v>
      </c>
      <c r="C344" s="2" t="s">
        <v>39</v>
      </c>
      <c r="D344" s="6" t="n">
        <v>45808</v>
      </c>
      <c r="E344" s="2" t="s">
        <v>40</v>
      </c>
      <c r="F344" s="2" t="s">
        <v>32</v>
      </c>
      <c r="G344" s="2" t="s">
        <v>48</v>
      </c>
      <c r="H344" s="2" t="s">
        <v>49</v>
      </c>
      <c r="I344" s="2" t="s">
        <v>86</v>
      </c>
      <c r="J344" s="2" t="s">
        <v>44</v>
      </c>
      <c r="K344" s="2" t="s">
        <v>67</v>
      </c>
      <c r="L344" s="2" t="n">
        <v>1</v>
      </c>
      <c r="M344" s="2" t="str">
        <f aca="false">IF(L344="","",IF(L344=0,"Low",IF(L344=1,"Medium","High")))</f>
        <v>Medium</v>
      </c>
    </row>
    <row r="345" customFormat="false" ht="15" hidden="false" customHeight="false" outlineLevel="0" collapsed="false">
      <c r="A345" s="2" t="s">
        <v>556</v>
      </c>
      <c r="B345" s="2" t="s">
        <v>554</v>
      </c>
      <c r="C345" s="2" t="s">
        <v>47</v>
      </c>
      <c r="D345" s="6" t="n">
        <v>46173</v>
      </c>
      <c r="E345" s="2" t="s">
        <v>40</v>
      </c>
      <c r="F345" s="2" t="s">
        <v>41</v>
      </c>
      <c r="G345" s="2" t="s">
        <v>42</v>
      </c>
      <c r="H345" s="2" t="s">
        <v>52</v>
      </c>
      <c r="I345" s="2" t="s">
        <v>86</v>
      </c>
      <c r="J345" s="2" t="s">
        <v>44</v>
      </c>
      <c r="K345" s="2" t="s">
        <v>37</v>
      </c>
      <c r="L345" s="2"/>
      <c r="M345" s="2" t="str">
        <f aca="false">IF(L345="","",IF(L345=0,"Low",IF(L345=1,"Medium","High")))</f>
        <v/>
      </c>
    </row>
    <row r="346" customFormat="false" ht="15" hidden="false" customHeight="false" outlineLevel="0" collapsed="false">
      <c r="A346" s="2" t="s">
        <v>557</v>
      </c>
      <c r="B346" s="2" t="s">
        <v>558</v>
      </c>
      <c r="C346" s="2" t="s">
        <v>30</v>
      </c>
      <c r="D346" s="6" t="n">
        <v>45443</v>
      </c>
      <c r="E346" s="2" t="s">
        <v>64</v>
      </c>
      <c r="F346" s="2" t="s">
        <v>65</v>
      </c>
      <c r="G346" s="2" t="s">
        <v>65</v>
      </c>
      <c r="H346" s="2" t="s">
        <v>52</v>
      </c>
      <c r="I346" s="2" t="s">
        <v>53</v>
      </c>
      <c r="J346" s="2" t="s">
        <v>36</v>
      </c>
      <c r="K346" s="2" t="s">
        <v>67</v>
      </c>
      <c r="L346" s="2"/>
      <c r="M346" s="2" t="str">
        <f aca="false">IF(L346="","",IF(L346=0,"Low",IF(L346=1,"Medium","High")))</f>
        <v/>
      </c>
    </row>
    <row r="347" customFormat="false" ht="15" hidden="false" customHeight="false" outlineLevel="0" collapsed="false">
      <c r="A347" s="2" t="s">
        <v>559</v>
      </c>
      <c r="B347" s="2" t="s">
        <v>560</v>
      </c>
      <c r="C347" s="2" t="s">
        <v>30</v>
      </c>
      <c r="D347" s="6" t="n">
        <v>45443</v>
      </c>
      <c r="E347" s="2" t="s">
        <v>60</v>
      </c>
      <c r="F347" s="2" t="s">
        <v>56</v>
      </c>
      <c r="G347" s="2" t="s">
        <v>42</v>
      </c>
      <c r="H347" s="2" t="s">
        <v>34</v>
      </c>
      <c r="I347" s="2" t="s">
        <v>53</v>
      </c>
      <c r="J347" s="2" t="s">
        <v>79</v>
      </c>
      <c r="K347" s="2" t="s">
        <v>45</v>
      </c>
      <c r="L347" s="2" t="n">
        <v>1</v>
      </c>
      <c r="M347" s="2" t="str">
        <f aca="false">IF(L347="","",IF(L347=0,"Low",IF(L347=1,"Medium","High")))</f>
        <v>Medium</v>
      </c>
    </row>
    <row r="348" customFormat="false" ht="15" hidden="false" customHeight="false" outlineLevel="0" collapsed="false">
      <c r="A348" s="2" t="s">
        <v>561</v>
      </c>
      <c r="B348" s="2" t="s">
        <v>560</v>
      </c>
      <c r="C348" s="2" t="s">
        <v>39</v>
      </c>
      <c r="D348" s="6" t="n">
        <v>45808</v>
      </c>
      <c r="E348" s="2" t="s">
        <v>60</v>
      </c>
      <c r="F348" s="2" t="s">
        <v>56</v>
      </c>
      <c r="G348" s="2" t="s">
        <v>110</v>
      </c>
      <c r="H348" s="2" t="s">
        <v>43</v>
      </c>
      <c r="I348" s="2" t="s">
        <v>53</v>
      </c>
      <c r="J348" s="2" t="s">
        <v>44</v>
      </c>
      <c r="K348" s="2" t="s">
        <v>45</v>
      </c>
      <c r="L348" s="2" t="n">
        <v>3</v>
      </c>
      <c r="M348" s="2" t="str">
        <f aca="false">IF(L348="","",IF(L348=0,"Low",IF(L348=1,"Medium","High")))</f>
        <v>High</v>
      </c>
    </row>
    <row r="349" customFormat="false" ht="15" hidden="false" customHeight="false" outlineLevel="0" collapsed="false">
      <c r="A349" s="2" t="s">
        <v>562</v>
      </c>
      <c r="B349" s="2" t="s">
        <v>560</v>
      </c>
      <c r="C349" s="2" t="s">
        <v>47</v>
      </c>
      <c r="D349" s="6" t="n">
        <v>46173</v>
      </c>
      <c r="E349" s="2" t="s">
        <v>40</v>
      </c>
      <c r="F349" s="2" t="s">
        <v>41</v>
      </c>
      <c r="G349" s="2" t="s">
        <v>33</v>
      </c>
      <c r="H349" s="2" t="s">
        <v>49</v>
      </c>
      <c r="I349" s="2" t="s">
        <v>53</v>
      </c>
      <c r="J349" s="2" t="s">
        <v>44</v>
      </c>
      <c r="K349" s="2" t="s">
        <v>45</v>
      </c>
      <c r="L349" s="2"/>
      <c r="M349" s="2" t="str">
        <f aca="false">IF(L349="","",IF(L349=0,"Low",IF(L349=1,"Medium","High")))</f>
        <v/>
      </c>
    </row>
    <row r="350" customFormat="false" ht="15" hidden="false" customHeight="false" outlineLevel="0" collapsed="false">
      <c r="A350" s="2" t="s">
        <v>563</v>
      </c>
      <c r="B350" s="2" t="s">
        <v>564</v>
      </c>
      <c r="C350" s="2" t="s">
        <v>30</v>
      </c>
      <c r="D350" s="6" t="n">
        <v>45443</v>
      </c>
      <c r="E350" s="2" t="s">
        <v>64</v>
      </c>
      <c r="F350" s="2" t="s">
        <v>65</v>
      </c>
      <c r="G350" s="2" t="s">
        <v>65</v>
      </c>
      <c r="H350" s="2" t="s">
        <v>49</v>
      </c>
      <c r="I350" s="2" t="s">
        <v>35</v>
      </c>
      <c r="J350" s="2" t="s">
        <v>36</v>
      </c>
      <c r="K350" s="2" t="s">
        <v>67</v>
      </c>
      <c r="L350" s="2" t="n">
        <v>0</v>
      </c>
      <c r="M350" s="2" t="str">
        <f aca="false">IF(L350="","",IF(L350=0,"Low",IF(L350=1,"Medium","High")))</f>
        <v>Low</v>
      </c>
    </row>
    <row r="351" customFormat="false" ht="15" hidden="false" customHeight="false" outlineLevel="0" collapsed="false">
      <c r="A351" s="2" t="s">
        <v>565</v>
      </c>
      <c r="B351" s="2" t="s">
        <v>564</v>
      </c>
      <c r="C351" s="2" t="s">
        <v>39</v>
      </c>
      <c r="D351" s="6" t="n">
        <v>45808</v>
      </c>
      <c r="E351" s="2" t="s">
        <v>64</v>
      </c>
      <c r="F351" s="2" t="s">
        <v>65</v>
      </c>
      <c r="G351" s="2" t="s">
        <v>65</v>
      </c>
      <c r="H351" s="2" t="s">
        <v>52</v>
      </c>
      <c r="I351" s="2" t="s">
        <v>35</v>
      </c>
      <c r="J351" s="2" t="s">
        <v>36</v>
      </c>
      <c r="K351" s="2" t="s">
        <v>67</v>
      </c>
      <c r="L351" s="2"/>
      <c r="M351" s="2" t="str">
        <f aca="false">IF(L351="","",IF(L351=0,"Low",IF(L351=1,"Medium","High")))</f>
        <v/>
      </c>
    </row>
    <row r="352" customFormat="false" ht="15" hidden="false" customHeight="false" outlineLevel="0" collapsed="false">
      <c r="A352" s="2" t="s">
        <v>566</v>
      </c>
      <c r="B352" s="2" t="s">
        <v>567</v>
      </c>
      <c r="C352" s="2" t="s">
        <v>30</v>
      </c>
      <c r="D352" s="6" t="n">
        <v>45443</v>
      </c>
      <c r="E352" s="2" t="s">
        <v>64</v>
      </c>
      <c r="F352" s="2" t="s">
        <v>65</v>
      </c>
      <c r="G352" s="2" t="s">
        <v>65</v>
      </c>
      <c r="H352" s="2" t="s">
        <v>43</v>
      </c>
      <c r="I352" s="2" t="s">
        <v>66</v>
      </c>
      <c r="J352" s="2" t="s">
        <v>36</v>
      </c>
      <c r="K352" s="2" t="s">
        <v>67</v>
      </c>
      <c r="L352" s="2" t="n">
        <v>0</v>
      </c>
      <c r="M352" s="2" t="str">
        <f aca="false">IF(L352="","",IF(L352=0,"Low",IF(L352=1,"Medium","High")))</f>
        <v>Low</v>
      </c>
    </row>
    <row r="353" customFormat="false" ht="15" hidden="false" customHeight="false" outlineLevel="0" collapsed="false">
      <c r="A353" s="2" t="s">
        <v>568</v>
      </c>
      <c r="B353" s="2" t="s">
        <v>567</v>
      </c>
      <c r="C353" s="2" t="s">
        <v>39</v>
      </c>
      <c r="D353" s="6" t="n">
        <v>45808</v>
      </c>
      <c r="E353" s="2" t="s">
        <v>64</v>
      </c>
      <c r="F353" s="2" t="s">
        <v>65</v>
      </c>
      <c r="G353" s="2" t="s">
        <v>65</v>
      </c>
      <c r="H353" s="2" t="s">
        <v>49</v>
      </c>
      <c r="I353" s="2" t="s">
        <v>66</v>
      </c>
      <c r="J353" s="2" t="s">
        <v>36</v>
      </c>
      <c r="K353" s="2" t="s">
        <v>67</v>
      </c>
      <c r="L353" s="2" t="n">
        <v>0</v>
      </c>
      <c r="M353" s="2" t="str">
        <f aca="false">IF(L353="","",IF(L353=0,"Low",IF(L353=1,"Medium","High")))</f>
        <v>Low</v>
      </c>
    </row>
    <row r="354" customFormat="false" ht="15" hidden="false" customHeight="false" outlineLevel="0" collapsed="false">
      <c r="A354" s="2" t="s">
        <v>569</v>
      </c>
      <c r="B354" s="2" t="s">
        <v>567</v>
      </c>
      <c r="C354" s="2" t="s">
        <v>47</v>
      </c>
      <c r="D354" s="6" t="n">
        <v>46173</v>
      </c>
      <c r="E354" s="2" t="s">
        <v>64</v>
      </c>
      <c r="F354" s="2" t="s">
        <v>65</v>
      </c>
      <c r="G354" s="2" t="s">
        <v>65</v>
      </c>
      <c r="H354" s="2" t="s">
        <v>52</v>
      </c>
      <c r="I354" s="2" t="s">
        <v>66</v>
      </c>
      <c r="J354" s="2" t="s">
        <v>36</v>
      </c>
      <c r="K354" s="2" t="s">
        <v>67</v>
      </c>
      <c r="L354" s="2"/>
      <c r="M354" s="2" t="str">
        <f aca="false">IF(L354="","",IF(L354=0,"Low",IF(L354=1,"Medium","High")))</f>
        <v/>
      </c>
    </row>
    <row r="355" customFormat="false" ht="15" hidden="false" customHeight="false" outlineLevel="0" collapsed="false">
      <c r="A355" s="2" t="s">
        <v>570</v>
      </c>
      <c r="B355" s="2" t="s">
        <v>571</v>
      </c>
      <c r="C355" s="2" t="s">
        <v>30</v>
      </c>
      <c r="D355" s="6" t="n">
        <v>45443</v>
      </c>
      <c r="E355" s="2" t="s">
        <v>64</v>
      </c>
      <c r="F355" s="2" t="s">
        <v>65</v>
      </c>
      <c r="G355" s="2" t="s">
        <v>65</v>
      </c>
      <c r="H355" s="2" t="s">
        <v>43</v>
      </c>
      <c r="I355" s="2" t="s">
        <v>35</v>
      </c>
      <c r="J355" s="2" t="s">
        <v>36</v>
      </c>
      <c r="K355" s="2" t="s">
        <v>67</v>
      </c>
      <c r="L355" s="2" t="n">
        <v>0</v>
      </c>
      <c r="M355" s="2" t="str">
        <f aca="false">IF(L355="","",IF(L355=0,"Low",IF(L355=1,"Medium","High")))</f>
        <v>Low</v>
      </c>
    </row>
    <row r="356" customFormat="false" ht="15" hidden="false" customHeight="false" outlineLevel="0" collapsed="false">
      <c r="A356" s="2" t="s">
        <v>572</v>
      </c>
      <c r="B356" s="2" t="s">
        <v>571</v>
      </c>
      <c r="C356" s="2" t="s">
        <v>39</v>
      </c>
      <c r="D356" s="6" t="n">
        <v>45808</v>
      </c>
      <c r="E356" s="2" t="s">
        <v>64</v>
      </c>
      <c r="F356" s="2" t="s">
        <v>65</v>
      </c>
      <c r="G356" s="2" t="s">
        <v>65</v>
      </c>
      <c r="H356" s="2" t="s">
        <v>49</v>
      </c>
      <c r="I356" s="2" t="s">
        <v>35</v>
      </c>
      <c r="J356" s="2" t="s">
        <v>36</v>
      </c>
      <c r="K356" s="2" t="s">
        <v>67</v>
      </c>
      <c r="L356" s="2" t="n">
        <v>0</v>
      </c>
      <c r="M356" s="2" t="str">
        <f aca="false">IF(L356="","",IF(L356=0,"Low",IF(L356=1,"Medium","High")))</f>
        <v>Low</v>
      </c>
    </row>
    <row r="357" customFormat="false" ht="15" hidden="false" customHeight="false" outlineLevel="0" collapsed="false">
      <c r="A357" s="2" t="s">
        <v>573</v>
      </c>
      <c r="B357" s="2" t="s">
        <v>571</v>
      </c>
      <c r="C357" s="2" t="s">
        <v>47</v>
      </c>
      <c r="D357" s="6" t="n">
        <v>46173</v>
      </c>
      <c r="E357" s="2" t="s">
        <v>64</v>
      </c>
      <c r="F357" s="2" t="s">
        <v>65</v>
      </c>
      <c r="G357" s="2" t="s">
        <v>65</v>
      </c>
      <c r="H357" s="2" t="s">
        <v>52</v>
      </c>
      <c r="I357" s="2" t="s">
        <v>35</v>
      </c>
      <c r="J357" s="2" t="s">
        <v>36</v>
      </c>
      <c r="K357" s="2" t="s">
        <v>67</v>
      </c>
      <c r="L357" s="2"/>
      <c r="M357" s="2" t="str">
        <f aca="false">IF(L357="","",IF(L357=0,"Low",IF(L357=1,"Medium","High")))</f>
        <v/>
      </c>
    </row>
    <row r="358" customFormat="false" ht="15" hidden="false" customHeight="false" outlineLevel="0" collapsed="false">
      <c r="A358" s="2" t="s">
        <v>574</v>
      </c>
      <c r="B358" s="2" t="s">
        <v>575</v>
      </c>
      <c r="C358" s="2" t="s">
        <v>30</v>
      </c>
      <c r="D358" s="6" t="n">
        <v>45443</v>
      </c>
      <c r="E358" s="2" t="s">
        <v>60</v>
      </c>
      <c r="F358" s="2" t="s">
        <v>41</v>
      </c>
      <c r="G358" s="2" t="s">
        <v>42</v>
      </c>
      <c r="H358" s="2" t="s">
        <v>52</v>
      </c>
      <c r="I358" s="2" t="s">
        <v>53</v>
      </c>
      <c r="J358" s="2" t="s">
        <v>79</v>
      </c>
      <c r="K358" s="2" t="s">
        <v>45</v>
      </c>
      <c r="L358" s="2"/>
      <c r="M358" s="2" t="str">
        <f aca="false">IF(L358="","",IF(L358=0,"Low",IF(L358=1,"Medium","High")))</f>
        <v/>
      </c>
    </row>
    <row r="359" customFormat="false" ht="15" hidden="false" customHeight="false" outlineLevel="0" collapsed="false">
      <c r="A359" s="2" t="s">
        <v>576</v>
      </c>
      <c r="B359" s="2" t="s">
        <v>577</v>
      </c>
      <c r="C359" s="2" t="s">
        <v>30</v>
      </c>
      <c r="D359" s="6" t="n">
        <v>45443</v>
      </c>
      <c r="E359" s="2" t="s">
        <v>60</v>
      </c>
      <c r="F359" s="2" t="s">
        <v>41</v>
      </c>
      <c r="G359" s="2" t="s">
        <v>110</v>
      </c>
      <c r="H359" s="2" t="s">
        <v>43</v>
      </c>
      <c r="I359" s="2" t="s">
        <v>53</v>
      </c>
      <c r="J359" s="2" t="s">
        <v>44</v>
      </c>
      <c r="K359" s="2" t="s">
        <v>57</v>
      </c>
      <c r="L359" s="2" t="n">
        <v>0</v>
      </c>
      <c r="M359" s="2" t="str">
        <f aca="false">IF(L359="","",IF(L359=0,"Low",IF(L359=1,"Medium","High")))</f>
        <v>Low</v>
      </c>
    </row>
    <row r="360" customFormat="false" ht="15" hidden="false" customHeight="false" outlineLevel="0" collapsed="false">
      <c r="A360" s="2" t="s">
        <v>578</v>
      </c>
      <c r="B360" s="2" t="s">
        <v>577</v>
      </c>
      <c r="C360" s="2" t="s">
        <v>39</v>
      </c>
      <c r="D360" s="6" t="n">
        <v>45808</v>
      </c>
      <c r="E360" s="2" t="s">
        <v>60</v>
      </c>
      <c r="F360" s="2" t="s">
        <v>41</v>
      </c>
      <c r="G360" s="2" t="s">
        <v>33</v>
      </c>
      <c r="H360" s="2" t="s">
        <v>49</v>
      </c>
      <c r="I360" s="2" t="s">
        <v>53</v>
      </c>
      <c r="J360" s="2" t="s">
        <v>44</v>
      </c>
      <c r="K360" s="2" t="s">
        <v>57</v>
      </c>
      <c r="L360" s="2" t="n">
        <v>1</v>
      </c>
      <c r="M360" s="2" t="str">
        <f aca="false">IF(L360="","",IF(L360=0,"Low",IF(L360=1,"Medium","High")))</f>
        <v>Medium</v>
      </c>
    </row>
    <row r="361" customFormat="false" ht="15" hidden="false" customHeight="false" outlineLevel="0" collapsed="false">
      <c r="A361" s="2" t="s">
        <v>579</v>
      </c>
      <c r="B361" s="2" t="s">
        <v>577</v>
      </c>
      <c r="C361" s="2" t="s">
        <v>47</v>
      </c>
      <c r="D361" s="6" t="n">
        <v>46173</v>
      </c>
      <c r="E361" s="2" t="s">
        <v>60</v>
      </c>
      <c r="F361" s="2" t="s">
        <v>41</v>
      </c>
      <c r="G361" s="2" t="s">
        <v>42</v>
      </c>
      <c r="H361" s="2" t="s">
        <v>52</v>
      </c>
      <c r="I361" s="2" t="s">
        <v>53</v>
      </c>
      <c r="J361" s="2" t="s">
        <v>44</v>
      </c>
      <c r="K361" s="2" t="s">
        <v>37</v>
      </c>
      <c r="L361" s="2"/>
      <c r="M361" s="2" t="str">
        <f aca="false">IF(L361="","",IF(L361=0,"Low",IF(L361=1,"Medium","High")))</f>
        <v/>
      </c>
    </row>
    <row r="362" customFormat="false" ht="15" hidden="false" customHeight="false" outlineLevel="0" collapsed="false">
      <c r="A362" s="2" t="s">
        <v>580</v>
      </c>
      <c r="B362" s="2" t="s">
        <v>581</v>
      </c>
      <c r="C362" s="2" t="s">
        <v>30</v>
      </c>
      <c r="D362" s="6" t="n">
        <v>45443</v>
      </c>
      <c r="E362" s="2" t="s">
        <v>64</v>
      </c>
      <c r="F362" s="2" t="s">
        <v>65</v>
      </c>
      <c r="G362" s="2" t="s">
        <v>65</v>
      </c>
      <c r="H362" s="2" t="s">
        <v>49</v>
      </c>
      <c r="I362" s="2" t="s">
        <v>35</v>
      </c>
      <c r="J362" s="2" t="s">
        <v>36</v>
      </c>
      <c r="K362" s="2" t="s">
        <v>67</v>
      </c>
      <c r="L362" s="2" t="n">
        <v>0</v>
      </c>
      <c r="M362" s="2" t="str">
        <f aca="false">IF(L362="","",IF(L362=0,"Low",IF(L362=1,"Medium","High")))</f>
        <v>Low</v>
      </c>
    </row>
    <row r="363" customFormat="false" ht="15" hidden="false" customHeight="false" outlineLevel="0" collapsed="false">
      <c r="A363" s="2" t="s">
        <v>582</v>
      </c>
      <c r="B363" s="2" t="s">
        <v>581</v>
      </c>
      <c r="C363" s="2" t="s">
        <v>39</v>
      </c>
      <c r="D363" s="6" t="n">
        <v>45808</v>
      </c>
      <c r="E363" s="2" t="s">
        <v>64</v>
      </c>
      <c r="F363" s="2" t="s">
        <v>65</v>
      </c>
      <c r="G363" s="2" t="s">
        <v>65</v>
      </c>
      <c r="H363" s="2" t="s">
        <v>52</v>
      </c>
      <c r="I363" s="2" t="s">
        <v>35</v>
      </c>
      <c r="J363" s="2" t="s">
        <v>36</v>
      </c>
      <c r="K363" s="2" t="s">
        <v>67</v>
      </c>
      <c r="L363" s="2"/>
      <c r="M363" s="2" t="str">
        <f aca="false">IF(L363="","",IF(L363=0,"Low",IF(L363=1,"Medium","High")))</f>
        <v/>
      </c>
    </row>
    <row r="364" customFormat="false" ht="15" hidden="false" customHeight="false" outlineLevel="0" collapsed="false">
      <c r="A364" s="2" t="s">
        <v>583</v>
      </c>
      <c r="B364" s="2" t="s">
        <v>584</v>
      </c>
      <c r="C364" s="2" t="s">
        <v>30</v>
      </c>
      <c r="D364" s="6" t="n">
        <v>45443</v>
      </c>
      <c r="E364" s="2" t="s">
        <v>64</v>
      </c>
      <c r="F364" s="2" t="s">
        <v>65</v>
      </c>
      <c r="G364" s="2" t="s">
        <v>65</v>
      </c>
      <c r="H364" s="2" t="s">
        <v>49</v>
      </c>
      <c r="I364" s="2" t="s">
        <v>35</v>
      </c>
      <c r="J364" s="2" t="s">
        <v>36</v>
      </c>
      <c r="K364" s="2" t="s">
        <v>67</v>
      </c>
      <c r="L364" s="2" t="n">
        <v>1</v>
      </c>
      <c r="M364" s="2" t="str">
        <f aca="false">IF(L364="","",IF(L364=0,"Low",IF(L364=1,"Medium","High")))</f>
        <v>Medium</v>
      </c>
    </row>
    <row r="365" customFormat="false" ht="15" hidden="false" customHeight="false" outlineLevel="0" collapsed="false">
      <c r="A365" s="2" t="s">
        <v>585</v>
      </c>
      <c r="B365" s="2" t="s">
        <v>584</v>
      </c>
      <c r="C365" s="2" t="s">
        <v>39</v>
      </c>
      <c r="D365" s="6" t="n">
        <v>45808</v>
      </c>
      <c r="E365" s="2" t="s">
        <v>31</v>
      </c>
      <c r="F365" s="2" t="s">
        <v>32</v>
      </c>
      <c r="G365" s="2" t="s">
        <v>33</v>
      </c>
      <c r="H365" s="2" t="s">
        <v>52</v>
      </c>
      <c r="I365" s="2" t="s">
        <v>35</v>
      </c>
      <c r="J365" s="2" t="s">
        <v>36</v>
      </c>
      <c r="K365" s="2" t="s">
        <v>45</v>
      </c>
      <c r="L365" s="2"/>
      <c r="M365" s="2" t="str">
        <f aca="false">IF(L365="","",IF(L365=0,"Low",IF(L365=1,"Medium","High")))</f>
        <v/>
      </c>
    </row>
    <row r="366" customFormat="false" ht="15" hidden="false" customHeight="false" outlineLevel="0" collapsed="false">
      <c r="A366" s="2" t="s">
        <v>586</v>
      </c>
      <c r="B366" s="2" t="s">
        <v>587</v>
      </c>
      <c r="C366" s="2" t="s">
        <v>30</v>
      </c>
      <c r="D366" s="6" t="n">
        <v>45443</v>
      </c>
      <c r="E366" s="2" t="s">
        <v>31</v>
      </c>
      <c r="F366" s="2" t="s">
        <v>32</v>
      </c>
      <c r="G366" s="2" t="s">
        <v>33</v>
      </c>
      <c r="H366" s="2" t="s">
        <v>34</v>
      </c>
      <c r="I366" s="2" t="s">
        <v>53</v>
      </c>
      <c r="J366" s="2" t="s">
        <v>36</v>
      </c>
      <c r="K366" s="2" t="s">
        <v>45</v>
      </c>
      <c r="L366" s="2" t="n">
        <v>0</v>
      </c>
      <c r="M366" s="2" t="str">
        <f aca="false">IF(L366="","",IF(L366=0,"Low",IF(L366=1,"Medium","High")))</f>
        <v>Low</v>
      </c>
    </row>
    <row r="367" customFormat="false" ht="15" hidden="false" customHeight="false" outlineLevel="0" collapsed="false">
      <c r="A367" s="2" t="s">
        <v>588</v>
      </c>
      <c r="B367" s="2" t="s">
        <v>587</v>
      </c>
      <c r="C367" s="2" t="s">
        <v>39</v>
      </c>
      <c r="D367" s="6" t="n">
        <v>45808</v>
      </c>
      <c r="E367" s="2" t="s">
        <v>31</v>
      </c>
      <c r="F367" s="2" t="s">
        <v>32</v>
      </c>
      <c r="G367" s="2" t="s">
        <v>33</v>
      </c>
      <c r="H367" s="2" t="s">
        <v>43</v>
      </c>
      <c r="I367" s="2" t="s">
        <v>53</v>
      </c>
      <c r="J367" s="2" t="s">
        <v>36</v>
      </c>
      <c r="K367" s="2" t="s">
        <v>45</v>
      </c>
      <c r="L367" s="2" t="n">
        <v>0</v>
      </c>
      <c r="M367" s="2" t="str">
        <f aca="false">IF(L367="","",IF(L367=0,"Low",IF(L367=1,"Medium","High")))</f>
        <v>Low</v>
      </c>
    </row>
    <row r="368" customFormat="false" ht="15" hidden="false" customHeight="false" outlineLevel="0" collapsed="false">
      <c r="A368" s="2" t="s">
        <v>589</v>
      </c>
      <c r="B368" s="2" t="s">
        <v>587</v>
      </c>
      <c r="C368" s="2" t="s">
        <v>47</v>
      </c>
      <c r="D368" s="6" t="n">
        <v>46173</v>
      </c>
      <c r="E368" s="2" t="s">
        <v>31</v>
      </c>
      <c r="F368" s="2" t="s">
        <v>32</v>
      </c>
      <c r="G368" s="2" t="s">
        <v>33</v>
      </c>
      <c r="H368" s="2" t="s">
        <v>49</v>
      </c>
      <c r="I368" s="2" t="s">
        <v>53</v>
      </c>
      <c r="J368" s="2" t="s">
        <v>36</v>
      </c>
      <c r="K368" s="2" t="s">
        <v>45</v>
      </c>
      <c r="L368" s="2"/>
      <c r="M368" s="2" t="str">
        <f aca="false">IF(L368="","",IF(L368=0,"Low",IF(L368=1,"Medium","High")))</f>
        <v/>
      </c>
    </row>
    <row r="369" customFormat="false" ht="15" hidden="false" customHeight="false" outlineLevel="0" collapsed="false">
      <c r="A369" s="2" t="s">
        <v>590</v>
      </c>
      <c r="B369" s="2" t="s">
        <v>591</v>
      </c>
      <c r="C369" s="2" t="s">
        <v>30</v>
      </c>
      <c r="D369" s="6" t="n">
        <v>45443</v>
      </c>
      <c r="E369" s="2" t="s">
        <v>31</v>
      </c>
      <c r="F369" s="2" t="s">
        <v>32</v>
      </c>
      <c r="G369" s="2" t="s">
        <v>33</v>
      </c>
      <c r="H369" s="2" t="s">
        <v>49</v>
      </c>
      <c r="I369" s="2" t="s">
        <v>66</v>
      </c>
      <c r="J369" s="2" t="s">
        <v>36</v>
      </c>
      <c r="K369" s="2" t="s">
        <v>67</v>
      </c>
      <c r="L369" s="2" t="n">
        <v>1</v>
      </c>
      <c r="M369" s="2" t="str">
        <f aca="false">IF(L369="","",IF(L369=0,"Low",IF(L369=1,"Medium","High")))</f>
        <v>Medium</v>
      </c>
    </row>
    <row r="370" customFormat="false" ht="15" hidden="false" customHeight="false" outlineLevel="0" collapsed="false">
      <c r="A370" s="2" t="s">
        <v>592</v>
      </c>
      <c r="B370" s="2" t="s">
        <v>591</v>
      </c>
      <c r="C370" s="2" t="s">
        <v>39</v>
      </c>
      <c r="D370" s="6" t="n">
        <v>45808</v>
      </c>
      <c r="E370" s="2" t="s">
        <v>60</v>
      </c>
      <c r="F370" s="2" t="s">
        <v>32</v>
      </c>
      <c r="G370" s="2" t="s">
        <v>48</v>
      </c>
      <c r="H370" s="2" t="s">
        <v>52</v>
      </c>
      <c r="I370" s="2" t="s">
        <v>66</v>
      </c>
      <c r="J370" s="2" t="s">
        <v>44</v>
      </c>
      <c r="K370" s="2" t="s">
        <v>37</v>
      </c>
      <c r="L370" s="2"/>
      <c r="M370" s="2" t="str">
        <f aca="false">IF(L370="","",IF(L370=0,"Low",IF(L370=1,"Medium","High")))</f>
        <v/>
      </c>
    </row>
    <row r="371" customFormat="false" ht="15" hidden="false" customHeight="false" outlineLevel="0" collapsed="false">
      <c r="A371" s="2" t="s">
        <v>593</v>
      </c>
      <c r="B371" s="2" t="s">
        <v>594</v>
      </c>
      <c r="C371" s="2" t="s">
        <v>30</v>
      </c>
      <c r="D371" s="6" t="n">
        <v>45443</v>
      </c>
      <c r="E371" s="2" t="s">
        <v>31</v>
      </c>
      <c r="F371" s="2" t="s">
        <v>56</v>
      </c>
      <c r="G371" s="2" t="s">
        <v>42</v>
      </c>
      <c r="H371" s="2" t="s">
        <v>52</v>
      </c>
      <c r="I371" s="2" t="s">
        <v>86</v>
      </c>
      <c r="J371" s="2" t="s">
        <v>36</v>
      </c>
      <c r="K371" s="2" t="s">
        <v>37</v>
      </c>
      <c r="L371" s="2"/>
      <c r="M371" s="2" t="str">
        <f aca="false">IF(L371="","",IF(L371=0,"Low",IF(L371=1,"Medium","High")))</f>
        <v/>
      </c>
    </row>
    <row r="372" customFormat="false" ht="15" hidden="false" customHeight="false" outlineLevel="0" collapsed="false">
      <c r="A372" s="2" t="s">
        <v>595</v>
      </c>
      <c r="B372" s="2" t="s">
        <v>596</v>
      </c>
      <c r="C372" s="2" t="s">
        <v>30</v>
      </c>
      <c r="D372" s="6" t="n">
        <v>45443</v>
      </c>
      <c r="E372" s="2" t="s">
        <v>64</v>
      </c>
      <c r="F372" s="2" t="s">
        <v>65</v>
      </c>
      <c r="G372" s="2" t="s">
        <v>65</v>
      </c>
      <c r="H372" s="2" t="s">
        <v>34</v>
      </c>
      <c r="I372" s="2" t="s">
        <v>86</v>
      </c>
      <c r="J372" s="2" t="s">
        <v>36</v>
      </c>
      <c r="K372" s="2" t="s">
        <v>67</v>
      </c>
      <c r="L372" s="2" t="n">
        <v>0</v>
      </c>
      <c r="M372" s="2" t="str">
        <f aca="false">IF(L372="","",IF(L372=0,"Low",IF(L372=1,"Medium","High")))</f>
        <v>Low</v>
      </c>
    </row>
    <row r="373" customFormat="false" ht="15" hidden="false" customHeight="false" outlineLevel="0" collapsed="false">
      <c r="A373" s="2" t="s">
        <v>597</v>
      </c>
      <c r="B373" s="2" t="s">
        <v>596</v>
      </c>
      <c r="C373" s="2" t="s">
        <v>39</v>
      </c>
      <c r="D373" s="6" t="n">
        <v>45808</v>
      </c>
      <c r="E373" s="2" t="s">
        <v>64</v>
      </c>
      <c r="F373" s="2" t="s">
        <v>65</v>
      </c>
      <c r="G373" s="2" t="s">
        <v>65</v>
      </c>
      <c r="H373" s="2" t="s">
        <v>43</v>
      </c>
      <c r="I373" s="2" t="s">
        <v>86</v>
      </c>
      <c r="J373" s="2" t="s">
        <v>36</v>
      </c>
      <c r="K373" s="2" t="s">
        <v>67</v>
      </c>
      <c r="L373" s="2" t="n">
        <v>1</v>
      </c>
      <c r="M373" s="2" t="str">
        <f aca="false">IF(L373="","",IF(L373=0,"Low",IF(L373=1,"Medium","High")))</f>
        <v>Medium</v>
      </c>
    </row>
    <row r="374" customFormat="false" ht="15" hidden="false" customHeight="false" outlineLevel="0" collapsed="false">
      <c r="A374" s="2" t="s">
        <v>598</v>
      </c>
      <c r="B374" s="2" t="s">
        <v>596</v>
      </c>
      <c r="C374" s="2" t="s">
        <v>47</v>
      </c>
      <c r="D374" s="6" t="n">
        <v>46173</v>
      </c>
      <c r="E374" s="2" t="s">
        <v>31</v>
      </c>
      <c r="F374" s="2" t="s">
        <v>32</v>
      </c>
      <c r="G374" s="2" t="s">
        <v>110</v>
      </c>
      <c r="H374" s="2" t="s">
        <v>49</v>
      </c>
      <c r="I374" s="2" t="s">
        <v>86</v>
      </c>
      <c r="J374" s="2" t="s">
        <v>36</v>
      </c>
      <c r="K374" s="2" t="s">
        <v>57</v>
      </c>
      <c r="L374" s="2"/>
      <c r="M374" s="2" t="str">
        <f aca="false">IF(L374="","",IF(L374=0,"Low",IF(L374=1,"Medium","High")))</f>
        <v/>
      </c>
    </row>
    <row r="375" customFormat="false" ht="15" hidden="false" customHeight="false" outlineLevel="0" collapsed="false">
      <c r="A375" s="2" t="s">
        <v>599</v>
      </c>
      <c r="B375" s="2" t="s">
        <v>600</v>
      </c>
      <c r="C375" s="2" t="s">
        <v>30</v>
      </c>
      <c r="D375" s="6" t="n">
        <v>45443</v>
      </c>
      <c r="E375" s="2" t="s">
        <v>60</v>
      </c>
      <c r="F375" s="2" t="s">
        <v>32</v>
      </c>
      <c r="G375" s="2" t="s">
        <v>48</v>
      </c>
      <c r="H375" s="2" t="s">
        <v>52</v>
      </c>
      <c r="I375" s="2" t="s">
        <v>66</v>
      </c>
      <c r="J375" s="2" t="s">
        <v>44</v>
      </c>
      <c r="K375" s="2" t="s">
        <v>57</v>
      </c>
      <c r="L375" s="2"/>
      <c r="M375" s="2" t="str">
        <f aca="false">IF(L375="","",IF(L375=0,"Low",IF(L375=1,"Medium","High")))</f>
        <v/>
      </c>
    </row>
    <row r="376" customFormat="false" ht="15" hidden="false" customHeight="false" outlineLevel="0" collapsed="false">
      <c r="A376" s="2" t="s">
        <v>601</v>
      </c>
      <c r="B376" s="2" t="s">
        <v>602</v>
      </c>
      <c r="C376" s="2" t="s">
        <v>30</v>
      </c>
      <c r="D376" s="6" t="n">
        <v>45443</v>
      </c>
      <c r="E376" s="2" t="s">
        <v>31</v>
      </c>
      <c r="F376" s="2" t="s">
        <v>32</v>
      </c>
      <c r="G376" s="2" t="s">
        <v>33</v>
      </c>
      <c r="H376" s="2" t="s">
        <v>43</v>
      </c>
      <c r="I376" s="2" t="s">
        <v>86</v>
      </c>
      <c r="J376" s="2" t="s">
        <v>36</v>
      </c>
      <c r="K376" s="2" t="s">
        <v>45</v>
      </c>
      <c r="L376" s="2" t="n">
        <v>1</v>
      </c>
      <c r="M376" s="2" t="str">
        <f aca="false">IF(L376="","",IF(L376=0,"Low",IF(L376=1,"Medium","High")))</f>
        <v>Medium</v>
      </c>
    </row>
    <row r="377" customFormat="false" ht="15" hidden="false" customHeight="false" outlineLevel="0" collapsed="false">
      <c r="A377" s="2" t="s">
        <v>603</v>
      </c>
      <c r="B377" s="2" t="s">
        <v>602</v>
      </c>
      <c r="C377" s="2" t="s">
        <v>39</v>
      </c>
      <c r="D377" s="6" t="n">
        <v>45808</v>
      </c>
      <c r="E377" s="2" t="s">
        <v>60</v>
      </c>
      <c r="F377" s="2" t="s">
        <v>32</v>
      </c>
      <c r="G377" s="2" t="s">
        <v>33</v>
      </c>
      <c r="H377" s="2" t="s">
        <v>49</v>
      </c>
      <c r="I377" s="2" t="s">
        <v>86</v>
      </c>
      <c r="J377" s="2" t="s">
        <v>44</v>
      </c>
      <c r="K377" s="2" t="s">
        <v>45</v>
      </c>
      <c r="L377" s="2" t="n">
        <v>3</v>
      </c>
      <c r="M377" s="2" t="str">
        <f aca="false">IF(L377="","",IF(L377=0,"Low",IF(L377=1,"Medium","High")))</f>
        <v>High</v>
      </c>
    </row>
    <row r="378" customFormat="false" ht="15" hidden="false" customHeight="false" outlineLevel="0" collapsed="false">
      <c r="A378" s="2" t="s">
        <v>604</v>
      </c>
      <c r="B378" s="2" t="s">
        <v>602</v>
      </c>
      <c r="C378" s="2" t="s">
        <v>47</v>
      </c>
      <c r="D378" s="6" t="n">
        <v>46173</v>
      </c>
      <c r="E378" s="2" t="s">
        <v>40</v>
      </c>
      <c r="F378" s="2" t="s">
        <v>41</v>
      </c>
      <c r="G378" s="2" t="s">
        <v>42</v>
      </c>
      <c r="H378" s="2" t="s">
        <v>52</v>
      </c>
      <c r="I378" s="2" t="s">
        <v>86</v>
      </c>
      <c r="J378" s="2" t="s">
        <v>44</v>
      </c>
      <c r="K378" s="2" t="s">
        <v>57</v>
      </c>
      <c r="L378" s="2"/>
      <c r="M378" s="2" t="str">
        <f aca="false">IF(L378="","",IF(L378=0,"Low",IF(L378=1,"Medium","High")))</f>
        <v/>
      </c>
    </row>
    <row r="379" customFormat="false" ht="15" hidden="false" customHeight="false" outlineLevel="0" collapsed="false">
      <c r="A379" s="2" t="s">
        <v>605</v>
      </c>
      <c r="B379" s="2" t="s">
        <v>606</v>
      </c>
      <c r="C379" s="2" t="s">
        <v>30</v>
      </c>
      <c r="D379" s="6" t="n">
        <v>45443</v>
      </c>
      <c r="E379" s="2" t="s">
        <v>64</v>
      </c>
      <c r="F379" s="2" t="s">
        <v>65</v>
      </c>
      <c r="G379" s="2" t="s">
        <v>65</v>
      </c>
      <c r="H379" s="2" t="s">
        <v>52</v>
      </c>
      <c r="I379" s="2" t="s">
        <v>53</v>
      </c>
      <c r="J379" s="2" t="s">
        <v>36</v>
      </c>
      <c r="K379" s="2" t="s">
        <v>67</v>
      </c>
      <c r="L379" s="2"/>
      <c r="M379" s="2" t="str">
        <f aca="false">IF(L379="","",IF(L379=0,"Low",IF(L379=1,"Medium","High")))</f>
        <v/>
      </c>
    </row>
    <row r="380" customFormat="false" ht="15" hidden="false" customHeight="false" outlineLevel="0" collapsed="false">
      <c r="A380" s="2" t="s">
        <v>607</v>
      </c>
      <c r="B380" s="2" t="s">
        <v>608</v>
      </c>
      <c r="C380" s="2" t="s">
        <v>30</v>
      </c>
      <c r="D380" s="6" t="n">
        <v>45443</v>
      </c>
      <c r="E380" s="2" t="s">
        <v>64</v>
      </c>
      <c r="F380" s="2" t="s">
        <v>65</v>
      </c>
      <c r="G380" s="2" t="s">
        <v>65</v>
      </c>
      <c r="H380" s="2" t="s">
        <v>49</v>
      </c>
      <c r="I380" s="2" t="s">
        <v>86</v>
      </c>
      <c r="J380" s="2" t="s">
        <v>36</v>
      </c>
      <c r="K380" s="2" t="s">
        <v>67</v>
      </c>
      <c r="L380" s="2" t="n">
        <v>1</v>
      </c>
      <c r="M380" s="2" t="str">
        <f aca="false">IF(L380="","",IF(L380=0,"Low",IF(L380=1,"Medium","High")))</f>
        <v>Medium</v>
      </c>
    </row>
    <row r="381" customFormat="false" ht="15" hidden="false" customHeight="false" outlineLevel="0" collapsed="false">
      <c r="A381" s="2" t="s">
        <v>609</v>
      </c>
      <c r="B381" s="2" t="s">
        <v>608</v>
      </c>
      <c r="C381" s="2" t="s">
        <v>39</v>
      </c>
      <c r="D381" s="6" t="n">
        <v>45808</v>
      </c>
      <c r="E381" s="2" t="s">
        <v>31</v>
      </c>
      <c r="F381" s="2" t="s">
        <v>32</v>
      </c>
      <c r="G381" s="2" t="s">
        <v>48</v>
      </c>
      <c r="H381" s="2" t="s">
        <v>52</v>
      </c>
      <c r="I381" s="2" t="s">
        <v>86</v>
      </c>
      <c r="J381" s="2" t="s">
        <v>36</v>
      </c>
      <c r="K381" s="2" t="s">
        <v>67</v>
      </c>
      <c r="L381" s="2"/>
      <c r="M381" s="2" t="str">
        <f aca="false">IF(L381="","",IF(L381=0,"Low",IF(L381=1,"Medium","High")))</f>
        <v/>
      </c>
    </row>
    <row r="382" customFormat="false" ht="15" hidden="false" customHeight="false" outlineLevel="0" collapsed="false">
      <c r="A382" s="2" t="s">
        <v>610</v>
      </c>
      <c r="B382" s="2" t="s">
        <v>611</v>
      </c>
      <c r="C382" s="2" t="s">
        <v>30</v>
      </c>
      <c r="D382" s="6" t="n">
        <v>45443</v>
      </c>
      <c r="E382" s="2" t="s">
        <v>64</v>
      </c>
      <c r="F382" s="2" t="s">
        <v>65</v>
      </c>
      <c r="G382" s="2" t="s">
        <v>65</v>
      </c>
      <c r="H382" s="2" t="s">
        <v>49</v>
      </c>
      <c r="I382" s="2" t="s">
        <v>86</v>
      </c>
      <c r="J382" s="2" t="s">
        <v>36</v>
      </c>
      <c r="K382" s="2" t="s">
        <v>67</v>
      </c>
      <c r="L382" s="2" t="n">
        <v>0</v>
      </c>
      <c r="M382" s="2" t="str">
        <f aca="false">IF(L382="","",IF(L382=0,"Low",IF(L382=1,"Medium","High")))</f>
        <v>Low</v>
      </c>
    </row>
    <row r="383" customFormat="false" ht="15" hidden="false" customHeight="false" outlineLevel="0" collapsed="false">
      <c r="A383" s="2" t="s">
        <v>612</v>
      </c>
      <c r="B383" s="2" t="s">
        <v>611</v>
      </c>
      <c r="C383" s="2" t="s">
        <v>39</v>
      </c>
      <c r="D383" s="6" t="n">
        <v>45808</v>
      </c>
      <c r="E383" s="2" t="s">
        <v>64</v>
      </c>
      <c r="F383" s="2" t="s">
        <v>65</v>
      </c>
      <c r="G383" s="2" t="s">
        <v>65</v>
      </c>
      <c r="H383" s="2" t="s">
        <v>52</v>
      </c>
      <c r="I383" s="2" t="s">
        <v>86</v>
      </c>
      <c r="J383" s="2" t="s">
        <v>36</v>
      </c>
      <c r="K383" s="2" t="s">
        <v>67</v>
      </c>
      <c r="L383" s="2"/>
      <c r="M383" s="2" t="str">
        <f aca="false">IF(L383="","",IF(L383=0,"Low",IF(L383=1,"Medium","High")))</f>
        <v/>
      </c>
    </row>
    <row r="384" customFormat="false" ht="15" hidden="false" customHeight="false" outlineLevel="0" collapsed="false">
      <c r="A384" s="2" t="s">
        <v>613</v>
      </c>
      <c r="B384" s="2" t="s">
        <v>614</v>
      </c>
      <c r="C384" s="2" t="s">
        <v>30</v>
      </c>
      <c r="D384" s="6" t="n">
        <v>45443</v>
      </c>
      <c r="E384" s="2" t="s">
        <v>64</v>
      </c>
      <c r="F384" s="2" t="s">
        <v>65</v>
      </c>
      <c r="G384" s="2" t="s">
        <v>65</v>
      </c>
      <c r="H384" s="2" t="s">
        <v>52</v>
      </c>
      <c r="I384" s="2" t="s">
        <v>53</v>
      </c>
      <c r="J384" s="2" t="s">
        <v>36</v>
      </c>
      <c r="K384" s="2" t="s">
        <v>67</v>
      </c>
      <c r="L384" s="2"/>
      <c r="M384" s="2" t="str">
        <f aca="false">IF(L384="","",IF(L384=0,"Low",IF(L384=1,"Medium","High")))</f>
        <v/>
      </c>
    </row>
    <row r="385" customFormat="false" ht="15" hidden="false" customHeight="false" outlineLevel="0" collapsed="false">
      <c r="A385" s="2" t="s">
        <v>615</v>
      </c>
      <c r="B385" s="2" t="s">
        <v>616</v>
      </c>
      <c r="C385" s="2" t="s">
        <v>30</v>
      </c>
      <c r="D385" s="6" t="n">
        <v>45443</v>
      </c>
      <c r="E385" s="2" t="s">
        <v>60</v>
      </c>
      <c r="F385" s="2" t="s">
        <v>56</v>
      </c>
      <c r="G385" s="2" t="s">
        <v>48</v>
      </c>
      <c r="H385" s="2" t="s">
        <v>52</v>
      </c>
      <c r="I385" s="2" t="s">
        <v>35</v>
      </c>
      <c r="J385" s="2" t="s">
        <v>79</v>
      </c>
      <c r="K385" s="2" t="s">
        <v>45</v>
      </c>
      <c r="L385" s="2"/>
      <c r="M385" s="2" t="str">
        <f aca="false">IF(L385="","",IF(L385=0,"Low",IF(L385=1,"Medium","High")))</f>
        <v/>
      </c>
    </row>
    <row r="386" customFormat="false" ht="15" hidden="false" customHeight="false" outlineLevel="0" collapsed="false">
      <c r="A386" s="2" t="s">
        <v>617</v>
      </c>
      <c r="B386" s="2" t="s">
        <v>618</v>
      </c>
      <c r="C386" s="2" t="s">
        <v>30</v>
      </c>
      <c r="D386" s="6" t="n">
        <v>45443</v>
      </c>
      <c r="E386" s="2" t="s">
        <v>60</v>
      </c>
      <c r="F386" s="2" t="s">
        <v>41</v>
      </c>
      <c r="G386" s="2" t="s">
        <v>48</v>
      </c>
      <c r="H386" s="2" t="s">
        <v>49</v>
      </c>
      <c r="I386" s="2" t="s">
        <v>86</v>
      </c>
      <c r="J386" s="2" t="s">
        <v>44</v>
      </c>
      <c r="K386" s="2" t="s">
        <v>57</v>
      </c>
      <c r="L386" s="2" t="n">
        <v>2</v>
      </c>
      <c r="M386" s="2" t="str">
        <f aca="false">IF(L386="","",IF(L386=0,"Low",IF(L386=1,"Medium","High")))</f>
        <v>High</v>
      </c>
    </row>
    <row r="387" customFormat="false" ht="15" hidden="false" customHeight="false" outlineLevel="0" collapsed="false">
      <c r="A387" s="2" t="s">
        <v>619</v>
      </c>
      <c r="B387" s="2" t="s">
        <v>618</v>
      </c>
      <c r="C387" s="2" t="s">
        <v>39</v>
      </c>
      <c r="D387" s="6" t="n">
        <v>45808</v>
      </c>
      <c r="E387" s="2" t="s">
        <v>40</v>
      </c>
      <c r="F387" s="2" t="s">
        <v>41</v>
      </c>
      <c r="G387" s="2" t="s">
        <v>33</v>
      </c>
      <c r="H387" s="2" t="s">
        <v>52</v>
      </c>
      <c r="I387" s="2" t="s">
        <v>86</v>
      </c>
      <c r="J387" s="2" t="s">
        <v>44</v>
      </c>
      <c r="K387" s="2" t="s">
        <v>37</v>
      </c>
      <c r="L387" s="2"/>
      <c r="M387" s="2" t="str">
        <f aca="false">IF(L387="","",IF(L387=0,"Low",IF(L387=1,"Medium","High")))</f>
        <v/>
      </c>
    </row>
    <row r="388" customFormat="false" ht="15" hidden="false" customHeight="false" outlineLevel="0" collapsed="false">
      <c r="A388" s="2" t="s">
        <v>620</v>
      </c>
      <c r="B388" s="2" t="s">
        <v>621</v>
      </c>
      <c r="C388" s="2" t="s">
        <v>30</v>
      </c>
      <c r="D388" s="6" t="n">
        <v>45443</v>
      </c>
      <c r="E388" s="2" t="s">
        <v>31</v>
      </c>
      <c r="F388" s="2" t="s">
        <v>56</v>
      </c>
      <c r="G388" s="2" t="s">
        <v>33</v>
      </c>
      <c r="H388" s="2" t="s">
        <v>49</v>
      </c>
      <c r="I388" s="2" t="s">
        <v>66</v>
      </c>
      <c r="J388" s="2" t="s">
        <v>36</v>
      </c>
      <c r="K388" s="2" t="s">
        <v>45</v>
      </c>
      <c r="L388" s="2" t="n">
        <v>3</v>
      </c>
      <c r="M388" s="2" t="str">
        <f aca="false">IF(L388="","",IF(L388=0,"Low",IF(L388=1,"Medium","High")))</f>
        <v>High</v>
      </c>
    </row>
    <row r="389" customFormat="false" ht="15" hidden="false" customHeight="false" outlineLevel="0" collapsed="false">
      <c r="A389" s="2" t="s">
        <v>622</v>
      </c>
      <c r="B389" s="2" t="s">
        <v>621</v>
      </c>
      <c r="C389" s="2" t="s">
        <v>39</v>
      </c>
      <c r="D389" s="6" t="n">
        <v>45808</v>
      </c>
      <c r="E389" s="2" t="s">
        <v>40</v>
      </c>
      <c r="F389" s="2" t="s">
        <v>41</v>
      </c>
      <c r="G389" s="2" t="s">
        <v>42</v>
      </c>
      <c r="H389" s="2" t="s">
        <v>52</v>
      </c>
      <c r="I389" s="2" t="s">
        <v>66</v>
      </c>
      <c r="J389" s="2" t="s">
        <v>44</v>
      </c>
      <c r="K389" s="2" t="s">
        <v>57</v>
      </c>
      <c r="L389" s="2"/>
      <c r="M389" s="2" t="str">
        <f aca="false">IF(L389="","",IF(L389=0,"Low",IF(L389=1,"Medium","High")))</f>
        <v/>
      </c>
    </row>
    <row r="390" customFormat="false" ht="15" hidden="false" customHeight="false" outlineLevel="0" collapsed="false">
      <c r="A390" s="2" t="s">
        <v>623</v>
      </c>
      <c r="B390" s="2" t="s">
        <v>624</v>
      </c>
      <c r="C390" s="2" t="s">
        <v>30</v>
      </c>
      <c r="D390" s="6" t="n">
        <v>45443</v>
      </c>
      <c r="E390" s="2" t="s">
        <v>64</v>
      </c>
      <c r="F390" s="2" t="s">
        <v>65</v>
      </c>
      <c r="G390" s="2" t="s">
        <v>65</v>
      </c>
      <c r="H390" s="2" t="s">
        <v>49</v>
      </c>
      <c r="I390" s="2" t="s">
        <v>35</v>
      </c>
      <c r="J390" s="2" t="s">
        <v>36</v>
      </c>
      <c r="K390" s="2" t="s">
        <v>67</v>
      </c>
      <c r="L390" s="2" t="n">
        <v>1</v>
      </c>
      <c r="M390" s="2" t="str">
        <f aca="false">IF(L390="","",IF(L390=0,"Low",IF(L390=1,"Medium","High")))</f>
        <v>Medium</v>
      </c>
    </row>
    <row r="391" customFormat="false" ht="15" hidden="false" customHeight="false" outlineLevel="0" collapsed="false">
      <c r="A391" s="2" t="s">
        <v>625</v>
      </c>
      <c r="B391" s="2" t="s">
        <v>624</v>
      </c>
      <c r="C391" s="2" t="s">
        <v>39</v>
      </c>
      <c r="D391" s="6" t="n">
        <v>45808</v>
      </c>
      <c r="E391" s="2" t="s">
        <v>31</v>
      </c>
      <c r="F391" s="2" t="s">
        <v>32</v>
      </c>
      <c r="G391" s="2" t="s">
        <v>42</v>
      </c>
      <c r="H391" s="2" t="s">
        <v>52</v>
      </c>
      <c r="I391" s="2" t="s">
        <v>35</v>
      </c>
      <c r="J391" s="2" t="s">
        <v>36</v>
      </c>
      <c r="K391" s="2" t="s">
        <v>57</v>
      </c>
      <c r="L391" s="2"/>
      <c r="M391" s="2" t="str">
        <f aca="false">IF(L391="","",IF(L391=0,"Low",IF(L391=1,"Medium","High")))</f>
        <v/>
      </c>
    </row>
    <row r="392" customFormat="false" ht="15" hidden="false" customHeight="false" outlineLevel="0" collapsed="false">
      <c r="A392" s="2" t="s">
        <v>626</v>
      </c>
      <c r="B392" s="2" t="s">
        <v>627</v>
      </c>
      <c r="C392" s="2" t="s">
        <v>30</v>
      </c>
      <c r="D392" s="6" t="n">
        <v>45443</v>
      </c>
      <c r="E392" s="2" t="s">
        <v>31</v>
      </c>
      <c r="F392" s="2" t="s">
        <v>32</v>
      </c>
      <c r="G392" s="2" t="s">
        <v>33</v>
      </c>
      <c r="H392" s="2" t="s">
        <v>52</v>
      </c>
      <c r="I392" s="2" t="s">
        <v>66</v>
      </c>
      <c r="J392" s="2" t="s">
        <v>36</v>
      </c>
      <c r="K392" s="2" t="s">
        <v>67</v>
      </c>
      <c r="L392" s="2"/>
      <c r="M392" s="2" t="str">
        <f aca="false">IF(L392="","",IF(L392=0,"Low",IF(L392=1,"Medium","High")))</f>
        <v/>
      </c>
    </row>
    <row r="393" customFormat="false" ht="15" hidden="false" customHeight="false" outlineLevel="0" collapsed="false">
      <c r="A393" s="2" t="s">
        <v>628</v>
      </c>
      <c r="B393" s="2" t="s">
        <v>629</v>
      </c>
      <c r="C393" s="2" t="s">
        <v>30</v>
      </c>
      <c r="D393" s="6" t="n">
        <v>45443</v>
      </c>
      <c r="E393" s="2" t="s">
        <v>64</v>
      </c>
      <c r="F393" s="2" t="s">
        <v>65</v>
      </c>
      <c r="G393" s="2" t="s">
        <v>65</v>
      </c>
      <c r="H393" s="2" t="s">
        <v>43</v>
      </c>
      <c r="I393" s="2" t="s">
        <v>35</v>
      </c>
      <c r="J393" s="2" t="s">
        <v>36</v>
      </c>
      <c r="K393" s="2" t="s">
        <v>67</v>
      </c>
      <c r="L393" s="2" t="n">
        <v>1</v>
      </c>
      <c r="M393" s="2" t="str">
        <f aca="false">IF(L393="","",IF(L393=0,"Low",IF(L393=1,"Medium","High")))</f>
        <v>Medium</v>
      </c>
    </row>
    <row r="394" customFormat="false" ht="15" hidden="false" customHeight="false" outlineLevel="0" collapsed="false">
      <c r="A394" s="2" t="s">
        <v>630</v>
      </c>
      <c r="B394" s="2" t="s">
        <v>629</v>
      </c>
      <c r="C394" s="2" t="s">
        <v>39</v>
      </c>
      <c r="D394" s="6" t="n">
        <v>45808</v>
      </c>
      <c r="E394" s="2" t="s">
        <v>31</v>
      </c>
      <c r="F394" s="2" t="s">
        <v>56</v>
      </c>
      <c r="G394" s="2" t="s">
        <v>33</v>
      </c>
      <c r="H394" s="2" t="s">
        <v>49</v>
      </c>
      <c r="I394" s="2" t="s">
        <v>35</v>
      </c>
      <c r="J394" s="2" t="s">
        <v>36</v>
      </c>
      <c r="K394" s="2" t="s">
        <v>37</v>
      </c>
      <c r="L394" s="2" t="n">
        <v>0</v>
      </c>
      <c r="M394" s="2" t="str">
        <f aca="false">IF(L394="","",IF(L394=0,"Low",IF(L394=1,"Medium","High")))</f>
        <v>Low</v>
      </c>
    </row>
    <row r="395" customFormat="false" ht="15" hidden="false" customHeight="false" outlineLevel="0" collapsed="false">
      <c r="A395" s="2" t="s">
        <v>631</v>
      </c>
      <c r="B395" s="2" t="s">
        <v>629</v>
      </c>
      <c r="C395" s="2" t="s">
        <v>47</v>
      </c>
      <c r="D395" s="6" t="n">
        <v>46173</v>
      </c>
      <c r="E395" s="2" t="s">
        <v>31</v>
      </c>
      <c r="F395" s="2" t="s">
        <v>56</v>
      </c>
      <c r="G395" s="2" t="s">
        <v>33</v>
      </c>
      <c r="H395" s="2" t="s">
        <v>52</v>
      </c>
      <c r="I395" s="2" t="s">
        <v>35</v>
      </c>
      <c r="J395" s="2" t="s">
        <v>36</v>
      </c>
      <c r="K395" s="2" t="s">
        <v>37</v>
      </c>
      <c r="L395" s="2"/>
      <c r="M395" s="2" t="str">
        <f aca="false">IF(L395="","",IF(L395=0,"Low",IF(L395=1,"Medium","High")))</f>
        <v/>
      </c>
    </row>
    <row r="396" customFormat="false" ht="15" hidden="false" customHeight="false" outlineLevel="0" collapsed="false">
      <c r="A396" s="2" t="s">
        <v>632</v>
      </c>
      <c r="B396" s="2" t="s">
        <v>633</v>
      </c>
      <c r="C396" s="2" t="s">
        <v>30</v>
      </c>
      <c r="D396" s="6" t="n">
        <v>45443</v>
      </c>
      <c r="E396" s="2" t="s">
        <v>31</v>
      </c>
      <c r="F396" s="2" t="s">
        <v>32</v>
      </c>
      <c r="G396" s="2" t="s">
        <v>110</v>
      </c>
      <c r="H396" s="2" t="s">
        <v>52</v>
      </c>
      <c r="I396" s="2" t="s">
        <v>86</v>
      </c>
      <c r="J396" s="2" t="s">
        <v>36</v>
      </c>
      <c r="K396" s="2" t="s">
        <v>67</v>
      </c>
      <c r="L396" s="2"/>
      <c r="M396" s="2" t="str">
        <f aca="false">IF(L396="","",IF(L396=0,"Low",IF(L396=1,"Medium","High")))</f>
        <v/>
      </c>
    </row>
    <row r="397" customFormat="false" ht="15" hidden="false" customHeight="false" outlineLevel="0" collapsed="false">
      <c r="A397" s="2" t="s">
        <v>634</v>
      </c>
      <c r="B397" s="2" t="s">
        <v>635</v>
      </c>
      <c r="C397" s="2" t="s">
        <v>30</v>
      </c>
      <c r="D397" s="6" t="n">
        <v>45443</v>
      </c>
      <c r="E397" s="2" t="s">
        <v>31</v>
      </c>
      <c r="F397" s="2" t="s">
        <v>32</v>
      </c>
      <c r="G397" s="2" t="s">
        <v>33</v>
      </c>
      <c r="H397" s="2" t="s">
        <v>52</v>
      </c>
      <c r="I397" s="2" t="s">
        <v>35</v>
      </c>
      <c r="J397" s="2" t="s">
        <v>36</v>
      </c>
      <c r="K397" s="2" t="s">
        <v>45</v>
      </c>
      <c r="L397" s="2"/>
      <c r="M397" s="2" t="str">
        <f aca="false">IF(L397="","",IF(L397=0,"Low",IF(L397=1,"Medium","High")))</f>
        <v/>
      </c>
    </row>
    <row r="398" customFormat="false" ht="15" hidden="false" customHeight="false" outlineLevel="0" collapsed="false">
      <c r="A398" s="2" t="s">
        <v>636</v>
      </c>
      <c r="B398" s="2" t="s">
        <v>637</v>
      </c>
      <c r="C398" s="2" t="s">
        <v>30</v>
      </c>
      <c r="D398" s="6" t="n">
        <v>45443</v>
      </c>
      <c r="E398" s="2" t="s">
        <v>64</v>
      </c>
      <c r="F398" s="2" t="s">
        <v>65</v>
      </c>
      <c r="G398" s="2" t="s">
        <v>65</v>
      </c>
      <c r="H398" s="2" t="s">
        <v>34</v>
      </c>
      <c r="I398" s="2" t="s">
        <v>53</v>
      </c>
      <c r="J398" s="2" t="s">
        <v>36</v>
      </c>
      <c r="K398" s="2" t="s">
        <v>67</v>
      </c>
      <c r="L398" s="2" t="n">
        <v>0</v>
      </c>
      <c r="M398" s="2" t="str">
        <f aca="false">IF(L398="","",IF(L398=0,"Low",IF(L398=1,"Medium","High")))</f>
        <v>Low</v>
      </c>
    </row>
    <row r="399" customFormat="false" ht="15" hidden="false" customHeight="false" outlineLevel="0" collapsed="false">
      <c r="A399" s="2" t="s">
        <v>638</v>
      </c>
      <c r="B399" s="2" t="s">
        <v>637</v>
      </c>
      <c r="C399" s="2" t="s">
        <v>39</v>
      </c>
      <c r="D399" s="6" t="n">
        <v>45808</v>
      </c>
      <c r="E399" s="2" t="s">
        <v>64</v>
      </c>
      <c r="F399" s="2" t="s">
        <v>65</v>
      </c>
      <c r="G399" s="2" t="s">
        <v>65</v>
      </c>
      <c r="H399" s="2" t="s">
        <v>43</v>
      </c>
      <c r="I399" s="2" t="s">
        <v>53</v>
      </c>
      <c r="J399" s="2" t="s">
        <v>36</v>
      </c>
      <c r="K399" s="2" t="s">
        <v>67</v>
      </c>
      <c r="L399" s="2" t="n">
        <v>0</v>
      </c>
      <c r="M399" s="2" t="str">
        <f aca="false">IF(L399="","",IF(L399=0,"Low",IF(L399=1,"Medium","High")))</f>
        <v>Low</v>
      </c>
    </row>
    <row r="400" customFormat="false" ht="15" hidden="false" customHeight="false" outlineLevel="0" collapsed="false">
      <c r="A400" s="2" t="s">
        <v>639</v>
      </c>
      <c r="B400" s="2" t="s">
        <v>637</v>
      </c>
      <c r="C400" s="2" t="s">
        <v>47</v>
      </c>
      <c r="D400" s="6" t="n">
        <v>46173</v>
      </c>
      <c r="E400" s="2" t="s">
        <v>64</v>
      </c>
      <c r="F400" s="2" t="s">
        <v>65</v>
      </c>
      <c r="G400" s="2" t="s">
        <v>65</v>
      </c>
      <c r="H400" s="2" t="s">
        <v>49</v>
      </c>
      <c r="I400" s="2" t="s">
        <v>53</v>
      </c>
      <c r="J400" s="2" t="s">
        <v>36</v>
      </c>
      <c r="K400" s="2" t="s">
        <v>67</v>
      </c>
      <c r="L400" s="2"/>
      <c r="M400" s="2" t="str">
        <f aca="false">IF(L400="","",IF(L400=0,"Low",IF(L400=1,"Medium","High")))</f>
        <v/>
      </c>
    </row>
    <row r="401" customFormat="false" ht="15" hidden="false" customHeight="false" outlineLevel="0" collapsed="false">
      <c r="A401" s="2" t="s">
        <v>640</v>
      </c>
      <c r="B401" s="2" t="s">
        <v>641</v>
      </c>
      <c r="C401" s="2" t="s">
        <v>30</v>
      </c>
      <c r="D401" s="6" t="n">
        <v>45443</v>
      </c>
      <c r="E401" s="2" t="s">
        <v>64</v>
      </c>
      <c r="F401" s="2" t="s">
        <v>65</v>
      </c>
      <c r="G401" s="2" t="s">
        <v>65</v>
      </c>
      <c r="H401" s="2" t="s">
        <v>34</v>
      </c>
      <c r="I401" s="2" t="s">
        <v>35</v>
      </c>
      <c r="J401" s="2" t="s">
        <v>36</v>
      </c>
      <c r="K401" s="2" t="s">
        <v>67</v>
      </c>
      <c r="L401" s="2" t="n">
        <v>0</v>
      </c>
      <c r="M401" s="2" t="str">
        <f aca="false">IF(L401="","",IF(L401=0,"Low",IF(L401=1,"Medium","High")))</f>
        <v>Low</v>
      </c>
    </row>
    <row r="402" customFormat="false" ht="15" hidden="false" customHeight="false" outlineLevel="0" collapsed="false">
      <c r="A402" s="2" t="s">
        <v>642</v>
      </c>
      <c r="B402" s="2" t="s">
        <v>641</v>
      </c>
      <c r="C402" s="2" t="s">
        <v>39</v>
      </c>
      <c r="D402" s="6" t="n">
        <v>45808</v>
      </c>
      <c r="E402" s="2" t="s">
        <v>64</v>
      </c>
      <c r="F402" s="2" t="s">
        <v>65</v>
      </c>
      <c r="G402" s="2" t="s">
        <v>65</v>
      </c>
      <c r="H402" s="2" t="s">
        <v>43</v>
      </c>
      <c r="I402" s="2" t="s">
        <v>35</v>
      </c>
      <c r="J402" s="2" t="s">
        <v>36</v>
      </c>
      <c r="K402" s="2" t="s">
        <v>67</v>
      </c>
      <c r="L402" s="2"/>
      <c r="M402" s="2" t="str">
        <f aca="false">IF(L402="","",IF(L402=0,"Low",IF(L402=1,"Medium","High")))</f>
        <v/>
      </c>
    </row>
    <row r="403" customFormat="false" ht="15" hidden="false" customHeight="false" outlineLevel="0" collapsed="false">
      <c r="A403" s="2" t="s">
        <v>643</v>
      </c>
      <c r="B403" s="2" t="s">
        <v>644</v>
      </c>
      <c r="C403" s="2" t="s">
        <v>30</v>
      </c>
      <c r="D403" s="6" t="n">
        <v>45443</v>
      </c>
      <c r="E403" s="2" t="s">
        <v>31</v>
      </c>
      <c r="F403" s="2" t="s">
        <v>56</v>
      </c>
      <c r="G403" s="2" t="s">
        <v>110</v>
      </c>
      <c r="H403" s="2" t="s">
        <v>49</v>
      </c>
      <c r="I403" s="2" t="s">
        <v>53</v>
      </c>
      <c r="J403" s="2" t="s">
        <v>36</v>
      </c>
      <c r="K403" s="2" t="s">
        <v>45</v>
      </c>
      <c r="L403" s="2" t="n">
        <v>1</v>
      </c>
      <c r="M403" s="2" t="str">
        <f aca="false">IF(L403="","",IF(L403=0,"Low",IF(L403=1,"Medium","High")))</f>
        <v>Medium</v>
      </c>
    </row>
    <row r="404" customFormat="false" ht="15" hidden="false" customHeight="false" outlineLevel="0" collapsed="false">
      <c r="A404" s="2" t="s">
        <v>645</v>
      </c>
      <c r="B404" s="2" t="s">
        <v>644</v>
      </c>
      <c r="C404" s="2" t="s">
        <v>39</v>
      </c>
      <c r="D404" s="6" t="n">
        <v>45808</v>
      </c>
      <c r="E404" s="2" t="s">
        <v>60</v>
      </c>
      <c r="F404" s="2" t="s">
        <v>56</v>
      </c>
      <c r="G404" s="2" t="s">
        <v>110</v>
      </c>
      <c r="H404" s="2" t="s">
        <v>52</v>
      </c>
      <c r="I404" s="2" t="s">
        <v>53</v>
      </c>
      <c r="J404" s="2" t="s">
        <v>44</v>
      </c>
      <c r="K404" s="2" t="s">
        <v>37</v>
      </c>
      <c r="L404" s="2"/>
      <c r="M404" s="2" t="str">
        <f aca="false">IF(L404="","",IF(L404=0,"Low",IF(L404=1,"Medium","High")))</f>
        <v/>
      </c>
    </row>
    <row r="405" customFormat="false" ht="15" hidden="false" customHeight="false" outlineLevel="0" collapsed="false">
      <c r="A405" s="2" t="s">
        <v>646</v>
      </c>
      <c r="B405" s="2" t="s">
        <v>647</v>
      </c>
      <c r="C405" s="2" t="s">
        <v>30</v>
      </c>
      <c r="D405" s="6" t="n">
        <v>45443</v>
      </c>
      <c r="E405" s="2" t="s">
        <v>64</v>
      </c>
      <c r="F405" s="2" t="s">
        <v>65</v>
      </c>
      <c r="G405" s="2" t="s">
        <v>65</v>
      </c>
      <c r="H405" s="2" t="s">
        <v>34</v>
      </c>
      <c r="I405" s="2" t="s">
        <v>53</v>
      </c>
      <c r="J405" s="2" t="s">
        <v>36</v>
      </c>
      <c r="K405" s="2" t="s">
        <v>67</v>
      </c>
      <c r="L405" s="2" t="n">
        <v>1</v>
      </c>
      <c r="M405" s="2" t="str">
        <f aca="false">IF(L405="","",IF(L405=0,"Low",IF(L405=1,"Medium","High")))</f>
        <v>Medium</v>
      </c>
    </row>
    <row r="406" customFormat="false" ht="15" hidden="false" customHeight="false" outlineLevel="0" collapsed="false">
      <c r="A406" s="2" t="s">
        <v>648</v>
      </c>
      <c r="B406" s="2" t="s">
        <v>647</v>
      </c>
      <c r="C406" s="2" t="s">
        <v>39</v>
      </c>
      <c r="D406" s="6" t="n">
        <v>45808</v>
      </c>
      <c r="E406" s="2" t="s">
        <v>31</v>
      </c>
      <c r="F406" s="2" t="s">
        <v>56</v>
      </c>
      <c r="G406" s="2" t="s">
        <v>33</v>
      </c>
      <c r="H406" s="2" t="s">
        <v>43</v>
      </c>
      <c r="I406" s="2" t="s">
        <v>53</v>
      </c>
      <c r="J406" s="2" t="s">
        <v>36</v>
      </c>
      <c r="K406" s="2" t="s">
        <v>45</v>
      </c>
      <c r="L406" s="2" t="n">
        <v>1</v>
      </c>
      <c r="M406" s="2" t="str">
        <f aca="false">IF(L406="","",IF(L406=0,"Low",IF(L406=1,"Medium","High")))</f>
        <v>Medium</v>
      </c>
    </row>
    <row r="407" customFormat="false" ht="15" hidden="false" customHeight="false" outlineLevel="0" collapsed="false">
      <c r="A407" s="2" t="s">
        <v>649</v>
      </c>
      <c r="B407" s="2" t="s">
        <v>647</v>
      </c>
      <c r="C407" s="2" t="s">
        <v>47</v>
      </c>
      <c r="D407" s="6" t="n">
        <v>46173</v>
      </c>
      <c r="E407" s="2" t="s">
        <v>60</v>
      </c>
      <c r="F407" s="2" t="s">
        <v>56</v>
      </c>
      <c r="G407" s="2" t="s">
        <v>48</v>
      </c>
      <c r="H407" s="2" t="s">
        <v>49</v>
      </c>
      <c r="I407" s="2" t="s">
        <v>53</v>
      </c>
      <c r="J407" s="2" t="s">
        <v>44</v>
      </c>
      <c r="K407" s="2" t="s">
        <v>57</v>
      </c>
      <c r="L407" s="2"/>
      <c r="M407" s="2" t="str">
        <f aca="false">IF(L407="","",IF(L407=0,"Low",IF(L407=1,"Medium","High")))</f>
        <v/>
      </c>
    </row>
    <row r="408" customFormat="false" ht="15" hidden="false" customHeight="false" outlineLevel="0" collapsed="false">
      <c r="A408" s="2" t="s">
        <v>650</v>
      </c>
      <c r="B408" s="2" t="s">
        <v>651</v>
      </c>
      <c r="C408" s="2" t="s">
        <v>30</v>
      </c>
      <c r="D408" s="6" t="n">
        <v>45443</v>
      </c>
      <c r="E408" s="2" t="s">
        <v>64</v>
      </c>
      <c r="F408" s="2" t="s">
        <v>65</v>
      </c>
      <c r="G408" s="2" t="s">
        <v>65</v>
      </c>
      <c r="H408" s="2" t="s">
        <v>34</v>
      </c>
      <c r="I408" s="2" t="s">
        <v>53</v>
      </c>
      <c r="J408" s="2" t="s">
        <v>36</v>
      </c>
      <c r="K408" s="2" t="s">
        <v>67</v>
      </c>
      <c r="L408" s="2" t="n">
        <v>0</v>
      </c>
      <c r="M408" s="2" t="str">
        <f aca="false">IF(L408="","",IF(L408=0,"Low",IF(L408=1,"Medium","High")))</f>
        <v>Low</v>
      </c>
    </row>
    <row r="409" customFormat="false" ht="15" hidden="false" customHeight="false" outlineLevel="0" collapsed="false">
      <c r="A409" s="2" t="s">
        <v>652</v>
      </c>
      <c r="B409" s="2" t="s">
        <v>651</v>
      </c>
      <c r="C409" s="2" t="s">
        <v>39</v>
      </c>
      <c r="D409" s="6" t="n">
        <v>45808</v>
      </c>
      <c r="E409" s="2" t="s">
        <v>64</v>
      </c>
      <c r="F409" s="2" t="s">
        <v>65</v>
      </c>
      <c r="G409" s="2" t="s">
        <v>65</v>
      </c>
      <c r="H409" s="2" t="s">
        <v>43</v>
      </c>
      <c r="I409" s="2" t="s">
        <v>53</v>
      </c>
      <c r="J409" s="2" t="s">
        <v>36</v>
      </c>
      <c r="K409" s="2" t="s">
        <v>67</v>
      </c>
      <c r="L409" s="2" t="n">
        <v>1</v>
      </c>
      <c r="M409" s="2" t="str">
        <f aca="false">IF(L409="","",IF(L409=0,"Low",IF(L409=1,"Medium","High")))</f>
        <v>Medium</v>
      </c>
    </row>
    <row r="410" customFormat="false" ht="15" hidden="false" customHeight="false" outlineLevel="0" collapsed="false">
      <c r="A410" s="2" t="s">
        <v>653</v>
      </c>
      <c r="B410" s="2" t="s">
        <v>651</v>
      </c>
      <c r="C410" s="2" t="s">
        <v>47</v>
      </c>
      <c r="D410" s="6" t="n">
        <v>46173</v>
      </c>
      <c r="E410" s="2" t="s">
        <v>31</v>
      </c>
      <c r="F410" s="2" t="s">
        <v>32</v>
      </c>
      <c r="G410" s="2" t="s">
        <v>33</v>
      </c>
      <c r="H410" s="2" t="s">
        <v>49</v>
      </c>
      <c r="I410" s="2" t="s">
        <v>53</v>
      </c>
      <c r="J410" s="2" t="s">
        <v>36</v>
      </c>
      <c r="K410" s="2" t="s">
        <v>67</v>
      </c>
      <c r="L410" s="2"/>
      <c r="M410" s="2" t="str">
        <f aca="false">IF(L410="","",IF(L410=0,"Low",IF(L410=1,"Medium","High")))</f>
        <v/>
      </c>
    </row>
    <row r="411" customFormat="false" ht="15" hidden="false" customHeight="false" outlineLevel="0" collapsed="false">
      <c r="A411" s="2" t="s">
        <v>654</v>
      </c>
      <c r="B411" s="2" t="s">
        <v>655</v>
      </c>
      <c r="C411" s="2" t="s">
        <v>30</v>
      </c>
      <c r="D411" s="6" t="n">
        <v>45443</v>
      </c>
      <c r="E411" s="2" t="s">
        <v>31</v>
      </c>
      <c r="F411" s="2" t="s">
        <v>32</v>
      </c>
      <c r="G411" s="2" t="s">
        <v>48</v>
      </c>
      <c r="H411" s="2" t="s">
        <v>52</v>
      </c>
      <c r="I411" s="2" t="s">
        <v>35</v>
      </c>
      <c r="J411" s="2" t="s">
        <v>36</v>
      </c>
      <c r="K411" s="2" t="s">
        <v>67</v>
      </c>
      <c r="L411" s="2"/>
      <c r="M411" s="2" t="str">
        <f aca="false">IF(L411="","",IF(L411=0,"Low",IF(L411=1,"Medium","High")))</f>
        <v/>
      </c>
    </row>
    <row r="412" customFormat="false" ht="15" hidden="false" customHeight="false" outlineLevel="0" collapsed="false">
      <c r="A412" s="2" t="s">
        <v>656</v>
      </c>
      <c r="B412" s="2" t="s">
        <v>657</v>
      </c>
      <c r="C412" s="2" t="s">
        <v>30</v>
      </c>
      <c r="D412" s="6" t="n">
        <v>45443</v>
      </c>
      <c r="E412" s="2" t="s">
        <v>31</v>
      </c>
      <c r="F412" s="2" t="s">
        <v>32</v>
      </c>
      <c r="G412" s="2" t="s">
        <v>48</v>
      </c>
      <c r="H412" s="2" t="s">
        <v>52</v>
      </c>
      <c r="I412" s="2" t="s">
        <v>53</v>
      </c>
      <c r="J412" s="2" t="s">
        <v>36</v>
      </c>
      <c r="K412" s="2" t="s">
        <v>37</v>
      </c>
      <c r="L412" s="2"/>
      <c r="M412" s="2" t="str">
        <f aca="false">IF(L412="","",IF(L412=0,"Low",IF(L412=1,"Medium","High")))</f>
        <v/>
      </c>
    </row>
    <row r="413" customFormat="false" ht="15" hidden="false" customHeight="false" outlineLevel="0" collapsed="false">
      <c r="A413" s="2" t="s">
        <v>658</v>
      </c>
      <c r="B413" s="2" t="s">
        <v>659</v>
      </c>
      <c r="C413" s="2" t="s">
        <v>30</v>
      </c>
      <c r="D413" s="6" t="n">
        <v>45443</v>
      </c>
      <c r="E413" s="2" t="s">
        <v>64</v>
      </c>
      <c r="F413" s="2" t="s">
        <v>65</v>
      </c>
      <c r="G413" s="2" t="s">
        <v>65</v>
      </c>
      <c r="H413" s="2" t="s">
        <v>52</v>
      </c>
      <c r="I413" s="2" t="s">
        <v>35</v>
      </c>
      <c r="J413" s="2" t="s">
        <v>36</v>
      </c>
      <c r="K413" s="2" t="s">
        <v>67</v>
      </c>
      <c r="L413" s="2"/>
      <c r="M413" s="2" t="str">
        <f aca="false">IF(L413="","",IF(L413=0,"Low",IF(L413=1,"Medium","High")))</f>
        <v/>
      </c>
    </row>
    <row r="414" customFormat="false" ht="15" hidden="false" customHeight="false" outlineLevel="0" collapsed="false">
      <c r="A414" s="2" t="s">
        <v>660</v>
      </c>
      <c r="B414" s="2" t="s">
        <v>661</v>
      </c>
      <c r="C414" s="2" t="s">
        <v>30</v>
      </c>
      <c r="D414" s="6" t="n">
        <v>45443</v>
      </c>
      <c r="E414" s="2" t="s">
        <v>64</v>
      </c>
      <c r="F414" s="2" t="s">
        <v>65</v>
      </c>
      <c r="G414" s="2" t="s">
        <v>65</v>
      </c>
      <c r="H414" s="2" t="s">
        <v>34</v>
      </c>
      <c r="I414" s="2" t="s">
        <v>35</v>
      </c>
      <c r="J414" s="2" t="s">
        <v>36</v>
      </c>
      <c r="K414" s="2" t="s">
        <v>67</v>
      </c>
      <c r="L414" s="2" t="n">
        <v>1</v>
      </c>
      <c r="M414" s="2" t="str">
        <f aca="false">IF(L414="","",IF(L414=0,"Low",IF(L414=1,"Medium","High")))</f>
        <v>Medium</v>
      </c>
    </row>
    <row r="415" customFormat="false" ht="15" hidden="false" customHeight="false" outlineLevel="0" collapsed="false">
      <c r="A415" s="2" t="s">
        <v>662</v>
      </c>
      <c r="B415" s="2" t="s">
        <v>661</v>
      </c>
      <c r="C415" s="2" t="s">
        <v>39</v>
      </c>
      <c r="D415" s="6" t="n">
        <v>45808</v>
      </c>
      <c r="E415" s="2" t="s">
        <v>31</v>
      </c>
      <c r="F415" s="2" t="s">
        <v>32</v>
      </c>
      <c r="G415" s="2" t="s">
        <v>33</v>
      </c>
      <c r="H415" s="2" t="s">
        <v>43</v>
      </c>
      <c r="I415" s="2" t="s">
        <v>35</v>
      </c>
      <c r="J415" s="2" t="s">
        <v>36</v>
      </c>
      <c r="K415" s="2" t="s">
        <v>37</v>
      </c>
      <c r="L415" s="2" t="n">
        <v>0</v>
      </c>
      <c r="M415" s="2" t="str">
        <f aca="false">IF(L415="","",IF(L415=0,"Low",IF(L415=1,"Medium","High")))</f>
        <v>Low</v>
      </c>
    </row>
    <row r="416" customFormat="false" ht="15" hidden="false" customHeight="false" outlineLevel="0" collapsed="false">
      <c r="A416" s="2" t="s">
        <v>663</v>
      </c>
      <c r="B416" s="2" t="s">
        <v>661</v>
      </c>
      <c r="C416" s="2" t="s">
        <v>47</v>
      </c>
      <c r="D416" s="6" t="n">
        <v>46173</v>
      </c>
      <c r="E416" s="2" t="s">
        <v>31</v>
      </c>
      <c r="F416" s="2" t="s">
        <v>32</v>
      </c>
      <c r="G416" s="2" t="s">
        <v>33</v>
      </c>
      <c r="H416" s="2" t="s">
        <v>49</v>
      </c>
      <c r="I416" s="2" t="s">
        <v>35</v>
      </c>
      <c r="J416" s="2" t="s">
        <v>36</v>
      </c>
      <c r="K416" s="2" t="s">
        <v>37</v>
      </c>
      <c r="L416" s="2"/>
      <c r="M416" s="2" t="str">
        <f aca="false">IF(L416="","",IF(L416=0,"Low",IF(L416=1,"Medium","High")))</f>
        <v/>
      </c>
    </row>
    <row r="417" customFormat="false" ht="15" hidden="false" customHeight="false" outlineLevel="0" collapsed="false">
      <c r="A417" s="2" t="s">
        <v>664</v>
      </c>
      <c r="B417" s="2" t="s">
        <v>665</v>
      </c>
      <c r="C417" s="2" t="s">
        <v>30</v>
      </c>
      <c r="D417" s="6" t="n">
        <v>45443</v>
      </c>
      <c r="E417" s="2" t="s">
        <v>64</v>
      </c>
      <c r="F417" s="2" t="s">
        <v>65</v>
      </c>
      <c r="G417" s="2" t="s">
        <v>65</v>
      </c>
      <c r="H417" s="2" t="s">
        <v>43</v>
      </c>
      <c r="I417" s="2" t="s">
        <v>86</v>
      </c>
      <c r="J417" s="2" t="s">
        <v>36</v>
      </c>
      <c r="K417" s="2" t="s">
        <v>67</v>
      </c>
      <c r="L417" s="2"/>
      <c r="M417" s="2" t="str">
        <f aca="false">IF(L417="","",IF(L417=0,"Low",IF(L417=1,"Medium","High")))</f>
        <v/>
      </c>
    </row>
    <row r="418" customFormat="false" ht="15" hidden="false" customHeight="false" outlineLevel="0" collapsed="false">
      <c r="A418" s="2" t="s">
        <v>666</v>
      </c>
      <c r="B418" s="2" t="s">
        <v>667</v>
      </c>
      <c r="C418" s="2" t="s">
        <v>30</v>
      </c>
      <c r="D418" s="6" t="n">
        <v>45443</v>
      </c>
      <c r="E418" s="2" t="s">
        <v>31</v>
      </c>
      <c r="F418" s="2" t="s">
        <v>56</v>
      </c>
      <c r="G418" s="2" t="s">
        <v>42</v>
      </c>
      <c r="H418" s="2" t="s">
        <v>43</v>
      </c>
      <c r="I418" s="2" t="s">
        <v>66</v>
      </c>
      <c r="J418" s="2" t="s">
        <v>36</v>
      </c>
      <c r="K418" s="2" t="s">
        <v>45</v>
      </c>
      <c r="L418" s="2" t="n">
        <v>4</v>
      </c>
      <c r="M418" s="2" t="str">
        <f aca="false">IF(L418="","",IF(L418=0,"Low",IF(L418=1,"Medium","High")))</f>
        <v>High</v>
      </c>
    </row>
    <row r="419" customFormat="false" ht="15" hidden="false" customHeight="false" outlineLevel="0" collapsed="false">
      <c r="A419" s="2" t="s">
        <v>668</v>
      </c>
      <c r="B419" s="2" t="s">
        <v>667</v>
      </c>
      <c r="C419" s="2" t="s">
        <v>39</v>
      </c>
      <c r="D419" s="6" t="n">
        <v>45808</v>
      </c>
      <c r="E419" s="2" t="s">
        <v>40</v>
      </c>
      <c r="F419" s="2" t="s">
        <v>56</v>
      </c>
      <c r="G419" s="2" t="s">
        <v>42</v>
      </c>
      <c r="H419" s="2" t="s">
        <v>49</v>
      </c>
      <c r="I419" s="2" t="s">
        <v>66</v>
      </c>
      <c r="J419" s="2" t="s">
        <v>44</v>
      </c>
      <c r="K419" s="2" t="s">
        <v>37</v>
      </c>
      <c r="L419" s="2" t="n">
        <v>3</v>
      </c>
      <c r="M419" s="2" t="str">
        <f aca="false">IF(L419="","",IF(L419=0,"Low",IF(L419=1,"Medium","High")))</f>
        <v>High</v>
      </c>
    </row>
    <row r="420" customFormat="false" ht="15" hidden="false" customHeight="false" outlineLevel="0" collapsed="false">
      <c r="A420" s="2" t="s">
        <v>669</v>
      </c>
      <c r="B420" s="2" t="s">
        <v>667</v>
      </c>
      <c r="C420" s="2" t="s">
        <v>47</v>
      </c>
      <c r="D420" s="6" t="n">
        <v>46173</v>
      </c>
      <c r="E420" s="2" t="s">
        <v>40</v>
      </c>
      <c r="F420" s="2" t="s">
        <v>41</v>
      </c>
      <c r="G420" s="2" t="s">
        <v>48</v>
      </c>
      <c r="H420" s="2" t="s">
        <v>52</v>
      </c>
      <c r="I420" s="2" t="s">
        <v>66</v>
      </c>
      <c r="J420" s="2" t="s">
        <v>44</v>
      </c>
      <c r="K420" s="2" t="s">
        <v>45</v>
      </c>
      <c r="L420" s="2"/>
      <c r="M420" s="2" t="str">
        <f aca="false">IF(L420="","",IF(L420=0,"Low",IF(L420=1,"Medium","High")))</f>
        <v/>
      </c>
    </row>
    <row r="421" customFormat="false" ht="15" hidden="false" customHeight="false" outlineLevel="0" collapsed="false">
      <c r="A421" s="2" t="s">
        <v>670</v>
      </c>
      <c r="B421" s="2" t="s">
        <v>671</v>
      </c>
      <c r="C421" s="2" t="s">
        <v>30</v>
      </c>
      <c r="D421" s="6" t="n">
        <v>45443</v>
      </c>
      <c r="E421" s="2" t="s">
        <v>64</v>
      </c>
      <c r="F421" s="2" t="s">
        <v>65</v>
      </c>
      <c r="G421" s="2" t="s">
        <v>65</v>
      </c>
      <c r="H421" s="2" t="s">
        <v>34</v>
      </c>
      <c r="I421" s="2" t="s">
        <v>35</v>
      </c>
      <c r="J421" s="2" t="s">
        <v>36</v>
      </c>
      <c r="K421" s="2" t="s">
        <v>67</v>
      </c>
      <c r="L421" s="2" t="n">
        <v>1</v>
      </c>
      <c r="M421" s="2" t="str">
        <f aca="false">IF(L421="","",IF(L421=0,"Low",IF(L421=1,"Medium","High")))</f>
        <v>Medium</v>
      </c>
    </row>
    <row r="422" customFormat="false" ht="15" hidden="false" customHeight="false" outlineLevel="0" collapsed="false">
      <c r="A422" s="2" t="s">
        <v>672</v>
      </c>
      <c r="B422" s="2" t="s">
        <v>671</v>
      </c>
      <c r="C422" s="2" t="s">
        <v>39</v>
      </c>
      <c r="D422" s="6" t="n">
        <v>45808</v>
      </c>
      <c r="E422" s="2" t="s">
        <v>31</v>
      </c>
      <c r="F422" s="2" t="s">
        <v>32</v>
      </c>
      <c r="G422" s="2" t="s">
        <v>33</v>
      </c>
      <c r="H422" s="2" t="s">
        <v>43</v>
      </c>
      <c r="I422" s="2" t="s">
        <v>35</v>
      </c>
      <c r="J422" s="2" t="s">
        <v>36</v>
      </c>
      <c r="K422" s="2" t="s">
        <v>45</v>
      </c>
      <c r="L422" s="2" t="n">
        <v>0</v>
      </c>
      <c r="M422" s="2" t="str">
        <f aca="false">IF(L422="","",IF(L422=0,"Low",IF(L422=1,"Medium","High")))</f>
        <v>Low</v>
      </c>
    </row>
    <row r="423" customFormat="false" ht="15" hidden="false" customHeight="false" outlineLevel="0" collapsed="false">
      <c r="A423" s="2" t="s">
        <v>673</v>
      </c>
      <c r="B423" s="2" t="s">
        <v>671</v>
      </c>
      <c r="C423" s="2" t="s">
        <v>47</v>
      </c>
      <c r="D423" s="6" t="n">
        <v>46173</v>
      </c>
      <c r="E423" s="2" t="s">
        <v>31</v>
      </c>
      <c r="F423" s="2" t="s">
        <v>32</v>
      </c>
      <c r="G423" s="2" t="s">
        <v>33</v>
      </c>
      <c r="H423" s="2" t="s">
        <v>49</v>
      </c>
      <c r="I423" s="2" t="s">
        <v>35</v>
      </c>
      <c r="J423" s="2" t="s">
        <v>36</v>
      </c>
      <c r="K423" s="2" t="s">
        <v>45</v>
      </c>
      <c r="L423" s="2"/>
      <c r="M423" s="2" t="str">
        <f aca="false">IF(L423="","",IF(L423=0,"Low",IF(L423=1,"Medium","High")))</f>
        <v/>
      </c>
    </row>
    <row r="424" customFormat="false" ht="15" hidden="false" customHeight="false" outlineLevel="0" collapsed="false">
      <c r="A424" s="2" t="s">
        <v>674</v>
      </c>
      <c r="B424" s="2" t="s">
        <v>675</v>
      </c>
      <c r="C424" s="2" t="s">
        <v>30</v>
      </c>
      <c r="D424" s="6" t="n">
        <v>45443</v>
      </c>
      <c r="E424" s="2" t="s">
        <v>31</v>
      </c>
      <c r="F424" s="2" t="s">
        <v>32</v>
      </c>
      <c r="G424" s="2" t="s">
        <v>110</v>
      </c>
      <c r="H424" s="2" t="s">
        <v>49</v>
      </c>
      <c r="I424" s="2" t="s">
        <v>66</v>
      </c>
      <c r="J424" s="2" t="s">
        <v>36</v>
      </c>
      <c r="K424" s="2" t="s">
        <v>45</v>
      </c>
      <c r="L424" s="2" t="n">
        <v>3</v>
      </c>
      <c r="M424" s="2" t="str">
        <f aca="false">IF(L424="","",IF(L424=0,"Low",IF(L424=1,"Medium","High")))</f>
        <v>High</v>
      </c>
    </row>
    <row r="425" customFormat="false" ht="15" hidden="false" customHeight="false" outlineLevel="0" collapsed="false">
      <c r="A425" s="2" t="s">
        <v>676</v>
      </c>
      <c r="B425" s="2" t="s">
        <v>675</v>
      </c>
      <c r="C425" s="2" t="s">
        <v>39</v>
      </c>
      <c r="D425" s="6" t="n">
        <v>45808</v>
      </c>
      <c r="E425" s="2" t="s">
        <v>40</v>
      </c>
      <c r="F425" s="2" t="s">
        <v>41</v>
      </c>
      <c r="G425" s="2" t="s">
        <v>42</v>
      </c>
      <c r="H425" s="2" t="s">
        <v>52</v>
      </c>
      <c r="I425" s="2" t="s">
        <v>66</v>
      </c>
      <c r="J425" s="2" t="s">
        <v>79</v>
      </c>
      <c r="K425" s="2" t="s">
        <v>57</v>
      </c>
      <c r="L425" s="2"/>
      <c r="M425" s="2" t="str">
        <f aca="false">IF(L425="","",IF(L425=0,"Low",IF(L425=1,"Medium","High")))</f>
        <v/>
      </c>
    </row>
    <row r="426" customFormat="false" ht="15" hidden="false" customHeight="false" outlineLevel="0" collapsed="false">
      <c r="A426" s="2" t="s">
        <v>677</v>
      </c>
      <c r="B426" s="2" t="s">
        <v>678</v>
      </c>
      <c r="C426" s="2" t="s">
        <v>30</v>
      </c>
      <c r="D426" s="6" t="n">
        <v>45443</v>
      </c>
      <c r="E426" s="2" t="s">
        <v>64</v>
      </c>
      <c r="F426" s="2" t="s">
        <v>65</v>
      </c>
      <c r="G426" s="2" t="s">
        <v>65</v>
      </c>
      <c r="H426" s="2" t="s">
        <v>43</v>
      </c>
      <c r="I426" s="2" t="s">
        <v>66</v>
      </c>
      <c r="J426" s="2" t="s">
        <v>36</v>
      </c>
      <c r="K426" s="2" t="s">
        <v>67</v>
      </c>
      <c r="L426" s="2" t="n">
        <v>0</v>
      </c>
      <c r="M426" s="2" t="str">
        <f aca="false">IF(L426="","",IF(L426=0,"Low",IF(L426=1,"Medium","High")))</f>
        <v>Low</v>
      </c>
    </row>
    <row r="427" customFormat="false" ht="15" hidden="false" customHeight="false" outlineLevel="0" collapsed="false">
      <c r="A427" s="2" t="s">
        <v>679</v>
      </c>
      <c r="B427" s="2" t="s">
        <v>678</v>
      </c>
      <c r="C427" s="2" t="s">
        <v>39</v>
      </c>
      <c r="D427" s="6" t="n">
        <v>45808</v>
      </c>
      <c r="E427" s="2" t="s">
        <v>64</v>
      </c>
      <c r="F427" s="2" t="s">
        <v>65</v>
      </c>
      <c r="G427" s="2" t="s">
        <v>65</v>
      </c>
      <c r="H427" s="2" t="s">
        <v>49</v>
      </c>
      <c r="I427" s="2" t="s">
        <v>66</v>
      </c>
      <c r="J427" s="2" t="s">
        <v>36</v>
      </c>
      <c r="K427" s="2" t="s">
        <v>67</v>
      </c>
      <c r="L427" s="2" t="n">
        <v>0</v>
      </c>
      <c r="M427" s="2" t="str">
        <f aca="false">IF(L427="","",IF(L427=0,"Low",IF(L427=1,"Medium","High")))</f>
        <v>Low</v>
      </c>
    </row>
    <row r="428" customFormat="false" ht="15" hidden="false" customHeight="false" outlineLevel="0" collapsed="false">
      <c r="A428" s="2" t="s">
        <v>680</v>
      </c>
      <c r="B428" s="2" t="s">
        <v>678</v>
      </c>
      <c r="C428" s="2" t="s">
        <v>47</v>
      </c>
      <c r="D428" s="6" t="n">
        <v>46173</v>
      </c>
      <c r="E428" s="2" t="s">
        <v>64</v>
      </c>
      <c r="F428" s="2" t="s">
        <v>65</v>
      </c>
      <c r="G428" s="2" t="s">
        <v>65</v>
      </c>
      <c r="H428" s="2" t="s">
        <v>52</v>
      </c>
      <c r="I428" s="2" t="s">
        <v>66</v>
      </c>
      <c r="J428" s="2" t="s">
        <v>36</v>
      </c>
      <c r="K428" s="2" t="s">
        <v>67</v>
      </c>
      <c r="L428" s="2"/>
      <c r="M428" s="2" t="str">
        <f aca="false">IF(L428="","",IF(L428=0,"Low",IF(L428=1,"Medium","High")))</f>
        <v/>
      </c>
    </row>
    <row r="429" customFormat="false" ht="15" hidden="false" customHeight="false" outlineLevel="0" collapsed="false">
      <c r="A429" s="2" t="s">
        <v>681</v>
      </c>
      <c r="B429" s="2" t="s">
        <v>682</v>
      </c>
      <c r="C429" s="2" t="s">
        <v>30</v>
      </c>
      <c r="D429" s="6" t="n">
        <v>45443</v>
      </c>
      <c r="E429" s="2" t="s">
        <v>31</v>
      </c>
      <c r="F429" s="2" t="s">
        <v>32</v>
      </c>
      <c r="G429" s="2" t="s">
        <v>33</v>
      </c>
      <c r="H429" s="2" t="s">
        <v>49</v>
      </c>
      <c r="I429" s="2" t="s">
        <v>53</v>
      </c>
      <c r="J429" s="2" t="s">
        <v>36</v>
      </c>
      <c r="K429" s="2" t="s">
        <v>45</v>
      </c>
      <c r="L429" s="2" t="n">
        <v>1</v>
      </c>
      <c r="M429" s="2" t="str">
        <f aca="false">IF(L429="","",IF(L429=0,"Low",IF(L429=1,"Medium","High")))</f>
        <v>Medium</v>
      </c>
    </row>
    <row r="430" customFormat="false" ht="15" hidden="false" customHeight="false" outlineLevel="0" collapsed="false">
      <c r="A430" s="2" t="s">
        <v>683</v>
      </c>
      <c r="B430" s="2" t="s">
        <v>682</v>
      </c>
      <c r="C430" s="2" t="s">
        <v>39</v>
      </c>
      <c r="D430" s="6" t="n">
        <v>45808</v>
      </c>
      <c r="E430" s="2" t="s">
        <v>60</v>
      </c>
      <c r="F430" s="2" t="s">
        <v>32</v>
      </c>
      <c r="G430" s="2" t="s">
        <v>33</v>
      </c>
      <c r="H430" s="2" t="s">
        <v>52</v>
      </c>
      <c r="I430" s="2" t="s">
        <v>53</v>
      </c>
      <c r="J430" s="2" t="s">
        <v>44</v>
      </c>
      <c r="K430" s="2" t="s">
        <v>67</v>
      </c>
      <c r="L430" s="2"/>
      <c r="M430" s="2" t="str">
        <f aca="false">IF(L430="","",IF(L430=0,"Low",IF(L430=1,"Medium","High")))</f>
        <v/>
      </c>
    </row>
    <row r="431" customFormat="false" ht="15" hidden="false" customHeight="false" outlineLevel="0" collapsed="false">
      <c r="A431" s="2" t="s">
        <v>684</v>
      </c>
      <c r="B431" s="2" t="s">
        <v>685</v>
      </c>
      <c r="C431" s="2" t="s">
        <v>30</v>
      </c>
      <c r="D431" s="6" t="n">
        <v>45443</v>
      </c>
      <c r="E431" s="2" t="s">
        <v>31</v>
      </c>
      <c r="F431" s="2" t="s">
        <v>56</v>
      </c>
      <c r="G431" s="2" t="s">
        <v>33</v>
      </c>
      <c r="H431" s="2" t="s">
        <v>49</v>
      </c>
      <c r="I431" s="2" t="s">
        <v>86</v>
      </c>
      <c r="J431" s="2" t="s">
        <v>36</v>
      </c>
      <c r="K431" s="2" t="s">
        <v>45</v>
      </c>
      <c r="L431" s="2"/>
      <c r="M431" s="2" t="str">
        <f aca="false">IF(L431="","",IF(L431=0,"Low",IF(L431=1,"Medium","High")))</f>
        <v/>
      </c>
    </row>
    <row r="432" customFormat="false" ht="15" hidden="false" customHeight="false" outlineLevel="0" collapsed="false">
      <c r="A432" s="2" t="s">
        <v>686</v>
      </c>
      <c r="B432" s="2" t="s">
        <v>687</v>
      </c>
      <c r="C432" s="2" t="s">
        <v>30</v>
      </c>
      <c r="D432" s="6" t="n">
        <v>45443</v>
      </c>
      <c r="E432" s="2" t="s">
        <v>64</v>
      </c>
      <c r="F432" s="2" t="s">
        <v>65</v>
      </c>
      <c r="G432" s="2" t="s">
        <v>65</v>
      </c>
      <c r="H432" s="2" t="s">
        <v>43</v>
      </c>
      <c r="I432" s="2" t="s">
        <v>66</v>
      </c>
      <c r="J432" s="2" t="s">
        <v>36</v>
      </c>
      <c r="K432" s="2" t="s">
        <v>67</v>
      </c>
      <c r="L432" s="2" t="n">
        <v>0</v>
      </c>
      <c r="M432" s="2" t="str">
        <f aca="false">IF(L432="","",IF(L432=0,"Low",IF(L432=1,"Medium","High")))</f>
        <v>Low</v>
      </c>
    </row>
    <row r="433" customFormat="false" ht="15" hidden="false" customHeight="false" outlineLevel="0" collapsed="false">
      <c r="A433" s="2" t="s">
        <v>688</v>
      </c>
      <c r="B433" s="2" t="s">
        <v>687</v>
      </c>
      <c r="C433" s="2" t="s">
        <v>39</v>
      </c>
      <c r="D433" s="6" t="n">
        <v>45808</v>
      </c>
      <c r="E433" s="2" t="s">
        <v>64</v>
      </c>
      <c r="F433" s="2" t="s">
        <v>65</v>
      </c>
      <c r="G433" s="2" t="s">
        <v>65</v>
      </c>
      <c r="H433" s="2" t="s">
        <v>49</v>
      </c>
      <c r="I433" s="2" t="s">
        <v>66</v>
      </c>
      <c r="J433" s="2" t="s">
        <v>36</v>
      </c>
      <c r="K433" s="2" t="s">
        <v>67</v>
      </c>
      <c r="L433" s="2" t="n">
        <v>0</v>
      </c>
      <c r="M433" s="2" t="str">
        <f aca="false">IF(L433="","",IF(L433=0,"Low",IF(L433=1,"Medium","High")))</f>
        <v>Low</v>
      </c>
    </row>
    <row r="434" customFormat="false" ht="15" hidden="false" customHeight="false" outlineLevel="0" collapsed="false">
      <c r="A434" s="2" t="s">
        <v>689</v>
      </c>
      <c r="B434" s="2" t="s">
        <v>687</v>
      </c>
      <c r="C434" s="2" t="s">
        <v>47</v>
      </c>
      <c r="D434" s="6" t="n">
        <v>46173</v>
      </c>
      <c r="E434" s="2" t="s">
        <v>64</v>
      </c>
      <c r="F434" s="2" t="s">
        <v>65</v>
      </c>
      <c r="G434" s="2" t="s">
        <v>65</v>
      </c>
      <c r="H434" s="2" t="s">
        <v>52</v>
      </c>
      <c r="I434" s="2" t="s">
        <v>66</v>
      </c>
      <c r="J434" s="2" t="s">
        <v>36</v>
      </c>
      <c r="K434" s="2" t="s">
        <v>67</v>
      </c>
      <c r="L434" s="2"/>
      <c r="M434" s="2" t="str">
        <f aca="false">IF(L434="","",IF(L434=0,"Low",IF(L434=1,"Medium","High")))</f>
        <v/>
      </c>
    </row>
    <row r="435" customFormat="false" ht="15" hidden="false" customHeight="false" outlineLevel="0" collapsed="false">
      <c r="A435" s="2" t="s">
        <v>690</v>
      </c>
      <c r="B435" s="2" t="s">
        <v>691</v>
      </c>
      <c r="C435" s="2" t="s">
        <v>30</v>
      </c>
      <c r="D435" s="6" t="n">
        <v>45443</v>
      </c>
      <c r="E435" s="2" t="s">
        <v>64</v>
      </c>
      <c r="F435" s="2" t="s">
        <v>65</v>
      </c>
      <c r="G435" s="2" t="s">
        <v>65</v>
      </c>
      <c r="H435" s="2" t="s">
        <v>34</v>
      </c>
      <c r="I435" s="2" t="s">
        <v>53</v>
      </c>
      <c r="J435" s="2" t="s">
        <v>36</v>
      </c>
      <c r="K435" s="2" t="s">
        <v>67</v>
      </c>
      <c r="L435" s="2" t="n">
        <v>0</v>
      </c>
      <c r="M435" s="2" t="str">
        <f aca="false">IF(L435="","",IF(L435=0,"Low",IF(L435=1,"Medium","High")))</f>
        <v>Low</v>
      </c>
    </row>
    <row r="436" customFormat="false" ht="15" hidden="false" customHeight="false" outlineLevel="0" collapsed="false">
      <c r="A436" s="2" t="s">
        <v>692</v>
      </c>
      <c r="B436" s="2" t="s">
        <v>691</v>
      </c>
      <c r="C436" s="2" t="s">
        <v>39</v>
      </c>
      <c r="D436" s="6" t="n">
        <v>45808</v>
      </c>
      <c r="E436" s="2" t="s">
        <v>64</v>
      </c>
      <c r="F436" s="2" t="s">
        <v>65</v>
      </c>
      <c r="G436" s="2" t="s">
        <v>65</v>
      </c>
      <c r="H436" s="2" t="s">
        <v>43</v>
      </c>
      <c r="I436" s="2" t="s">
        <v>53</v>
      </c>
      <c r="J436" s="2" t="s">
        <v>36</v>
      </c>
      <c r="K436" s="2" t="s">
        <v>67</v>
      </c>
      <c r="L436" s="2" t="n">
        <v>1</v>
      </c>
      <c r="M436" s="2" t="str">
        <f aca="false">IF(L436="","",IF(L436=0,"Low",IF(L436=1,"Medium","High")))</f>
        <v>Medium</v>
      </c>
    </row>
    <row r="437" customFormat="false" ht="15" hidden="false" customHeight="false" outlineLevel="0" collapsed="false">
      <c r="A437" s="2" t="s">
        <v>693</v>
      </c>
      <c r="B437" s="2" t="s">
        <v>691</v>
      </c>
      <c r="C437" s="2" t="s">
        <v>47</v>
      </c>
      <c r="D437" s="6" t="n">
        <v>46173</v>
      </c>
      <c r="E437" s="2" t="s">
        <v>31</v>
      </c>
      <c r="F437" s="2" t="s">
        <v>32</v>
      </c>
      <c r="G437" s="2" t="s">
        <v>33</v>
      </c>
      <c r="H437" s="2" t="s">
        <v>49</v>
      </c>
      <c r="I437" s="2" t="s">
        <v>53</v>
      </c>
      <c r="J437" s="2" t="s">
        <v>36</v>
      </c>
      <c r="K437" s="2" t="s">
        <v>45</v>
      </c>
      <c r="L437" s="2"/>
      <c r="M437" s="2" t="str">
        <f aca="false">IF(L437="","",IF(L437=0,"Low",IF(L437=1,"Medium","High")))</f>
        <v/>
      </c>
    </row>
    <row r="438" customFormat="false" ht="15" hidden="false" customHeight="false" outlineLevel="0" collapsed="false">
      <c r="A438" s="2" t="s">
        <v>694</v>
      </c>
      <c r="B438" s="2" t="s">
        <v>695</v>
      </c>
      <c r="C438" s="2" t="s">
        <v>30</v>
      </c>
      <c r="D438" s="6" t="n">
        <v>45443</v>
      </c>
      <c r="E438" s="2" t="s">
        <v>60</v>
      </c>
      <c r="F438" s="2" t="s">
        <v>41</v>
      </c>
      <c r="G438" s="2" t="s">
        <v>42</v>
      </c>
      <c r="H438" s="2" t="s">
        <v>34</v>
      </c>
      <c r="I438" s="2" t="s">
        <v>53</v>
      </c>
      <c r="J438" s="2" t="s">
        <v>44</v>
      </c>
      <c r="K438" s="2" t="s">
        <v>57</v>
      </c>
      <c r="L438" s="2" t="n">
        <v>5</v>
      </c>
      <c r="M438" s="2" t="str">
        <f aca="false">IF(L438="","",IF(L438=0,"Low",IF(L438=1,"Medium","High")))</f>
        <v>High</v>
      </c>
    </row>
    <row r="439" customFormat="false" ht="15" hidden="false" customHeight="false" outlineLevel="0" collapsed="false">
      <c r="A439" s="2" t="s">
        <v>696</v>
      </c>
      <c r="B439" s="2" t="s">
        <v>695</v>
      </c>
      <c r="C439" s="2" t="s">
        <v>39</v>
      </c>
      <c r="D439" s="6" t="n">
        <v>45808</v>
      </c>
      <c r="E439" s="2" t="s">
        <v>40</v>
      </c>
      <c r="F439" s="2" t="s">
        <v>41</v>
      </c>
      <c r="G439" s="2" t="s">
        <v>48</v>
      </c>
      <c r="H439" s="2" t="s">
        <v>43</v>
      </c>
      <c r="I439" s="2" t="s">
        <v>53</v>
      </c>
      <c r="J439" s="2" t="s">
        <v>79</v>
      </c>
      <c r="K439" s="2" t="s">
        <v>45</v>
      </c>
      <c r="L439" s="2" t="n">
        <v>3</v>
      </c>
      <c r="M439" s="2" t="str">
        <f aca="false">IF(L439="","",IF(L439=0,"Low",IF(L439=1,"Medium","High")))</f>
        <v>High</v>
      </c>
    </row>
    <row r="440" customFormat="false" ht="15" hidden="false" customHeight="false" outlineLevel="0" collapsed="false">
      <c r="A440" s="2" t="s">
        <v>697</v>
      </c>
      <c r="B440" s="2" t="s">
        <v>695</v>
      </c>
      <c r="C440" s="2" t="s">
        <v>47</v>
      </c>
      <c r="D440" s="6" t="n">
        <v>46173</v>
      </c>
      <c r="E440" s="2" t="s">
        <v>40</v>
      </c>
      <c r="F440" s="2" t="s">
        <v>41</v>
      </c>
      <c r="G440" s="2" t="s">
        <v>42</v>
      </c>
      <c r="H440" s="2" t="s">
        <v>49</v>
      </c>
      <c r="I440" s="2" t="s">
        <v>53</v>
      </c>
      <c r="J440" s="2" t="s">
        <v>79</v>
      </c>
      <c r="K440" s="2" t="s">
        <v>37</v>
      </c>
      <c r="L440" s="2"/>
      <c r="M440" s="2" t="str">
        <f aca="false">IF(L440="","",IF(L440=0,"Low",IF(L440=1,"Medium","High")))</f>
        <v/>
      </c>
    </row>
    <row r="441" customFormat="false" ht="15" hidden="false" customHeight="false" outlineLevel="0" collapsed="false">
      <c r="A441" s="2" t="s">
        <v>698</v>
      </c>
      <c r="B441" s="2" t="s">
        <v>699</v>
      </c>
      <c r="C441" s="2" t="s">
        <v>30</v>
      </c>
      <c r="D441" s="6" t="n">
        <v>45443</v>
      </c>
      <c r="E441" s="2" t="s">
        <v>31</v>
      </c>
      <c r="F441" s="2" t="s">
        <v>32</v>
      </c>
      <c r="G441" s="2" t="s">
        <v>33</v>
      </c>
      <c r="H441" s="2" t="s">
        <v>49</v>
      </c>
      <c r="I441" s="2" t="s">
        <v>66</v>
      </c>
      <c r="J441" s="2" t="s">
        <v>36</v>
      </c>
      <c r="K441" s="2" t="s">
        <v>57</v>
      </c>
      <c r="L441" s="2" t="n">
        <v>1</v>
      </c>
      <c r="M441" s="2" t="str">
        <f aca="false">IF(L441="","",IF(L441=0,"Low",IF(L441=1,"Medium","High")))</f>
        <v>Medium</v>
      </c>
    </row>
    <row r="442" customFormat="false" ht="15" hidden="false" customHeight="false" outlineLevel="0" collapsed="false">
      <c r="A442" s="2" t="s">
        <v>700</v>
      </c>
      <c r="B442" s="2" t="s">
        <v>699</v>
      </c>
      <c r="C442" s="2" t="s">
        <v>39</v>
      </c>
      <c r="D442" s="6" t="n">
        <v>45808</v>
      </c>
      <c r="E442" s="2" t="s">
        <v>60</v>
      </c>
      <c r="F442" s="2" t="s">
        <v>32</v>
      </c>
      <c r="G442" s="2" t="s">
        <v>33</v>
      </c>
      <c r="H442" s="2" t="s">
        <v>52</v>
      </c>
      <c r="I442" s="2" t="s">
        <v>66</v>
      </c>
      <c r="J442" s="2" t="s">
        <v>44</v>
      </c>
      <c r="K442" s="2" t="s">
        <v>45</v>
      </c>
      <c r="L442" s="2"/>
      <c r="M442" s="2" t="str">
        <f aca="false">IF(L442="","",IF(L442=0,"Low",IF(L442=1,"Medium","High")))</f>
        <v/>
      </c>
    </row>
    <row r="443" customFormat="false" ht="15" hidden="false" customHeight="false" outlineLevel="0" collapsed="false">
      <c r="A443" s="2" t="s">
        <v>701</v>
      </c>
      <c r="B443" s="2" t="s">
        <v>702</v>
      </c>
      <c r="C443" s="2" t="s">
        <v>30</v>
      </c>
      <c r="D443" s="6" t="n">
        <v>45443</v>
      </c>
      <c r="E443" s="2" t="s">
        <v>60</v>
      </c>
      <c r="F443" s="2" t="s">
        <v>41</v>
      </c>
      <c r="G443" s="2" t="s">
        <v>110</v>
      </c>
      <c r="H443" s="2" t="s">
        <v>49</v>
      </c>
      <c r="I443" s="2" t="s">
        <v>35</v>
      </c>
      <c r="J443" s="2" t="s">
        <v>44</v>
      </c>
      <c r="K443" s="2" t="s">
        <v>37</v>
      </c>
      <c r="L443" s="2" t="n">
        <v>2</v>
      </c>
      <c r="M443" s="2" t="str">
        <f aca="false">IF(L443="","",IF(L443=0,"Low",IF(L443=1,"Medium","High")))</f>
        <v>High</v>
      </c>
    </row>
    <row r="444" customFormat="false" ht="15" hidden="false" customHeight="false" outlineLevel="0" collapsed="false">
      <c r="A444" s="2" t="s">
        <v>703</v>
      </c>
      <c r="B444" s="2" t="s">
        <v>702</v>
      </c>
      <c r="C444" s="2" t="s">
        <v>39</v>
      </c>
      <c r="D444" s="6" t="n">
        <v>45808</v>
      </c>
      <c r="E444" s="2" t="s">
        <v>40</v>
      </c>
      <c r="F444" s="2" t="s">
        <v>41</v>
      </c>
      <c r="G444" s="2" t="s">
        <v>48</v>
      </c>
      <c r="H444" s="2" t="s">
        <v>52</v>
      </c>
      <c r="I444" s="2" t="s">
        <v>35</v>
      </c>
      <c r="J444" s="2" t="s">
        <v>44</v>
      </c>
      <c r="K444" s="2" t="s">
        <v>37</v>
      </c>
      <c r="L444" s="2"/>
      <c r="M444" s="2" t="str">
        <f aca="false">IF(L444="","",IF(L444=0,"Low",IF(L444=1,"Medium","High")))</f>
        <v/>
      </c>
    </row>
    <row r="445" customFormat="false" ht="15" hidden="false" customHeight="false" outlineLevel="0" collapsed="false">
      <c r="A445" s="2" t="s">
        <v>704</v>
      </c>
      <c r="B445" s="2" t="s">
        <v>705</v>
      </c>
      <c r="C445" s="2" t="s">
        <v>30</v>
      </c>
      <c r="D445" s="6" t="n">
        <v>45443</v>
      </c>
      <c r="E445" s="2" t="s">
        <v>64</v>
      </c>
      <c r="F445" s="2" t="s">
        <v>65</v>
      </c>
      <c r="G445" s="2" t="s">
        <v>65</v>
      </c>
      <c r="H445" s="2" t="s">
        <v>52</v>
      </c>
      <c r="I445" s="2" t="s">
        <v>66</v>
      </c>
      <c r="J445" s="2" t="s">
        <v>36</v>
      </c>
      <c r="K445" s="2" t="s">
        <v>67</v>
      </c>
      <c r="L445" s="2"/>
      <c r="M445" s="2" t="str">
        <f aca="false">IF(L445="","",IF(L445=0,"Low",IF(L445=1,"Medium","High")))</f>
        <v/>
      </c>
    </row>
    <row r="446" customFormat="false" ht="15" hidden="false" customHeight="false" outlineLevel="0" collapsed="false">
      <c r="A446" s="2" t="s">
        <v>706</v>
      </c>
      <c r="B446" s="2" t="s">
        <v>707</v>
      </c>
      <c r="C446" s="2" t="s">
        <v>30</v>
      </c>
      <c r="D446" s="6" t="n">
        <v>45443</v>
      </c>
      <c r="E446" s="2" t="s">
        <v>60</v>
      </c>
      <c r="F446" s="2" t="s">
        <v>41</v>
      </c>
      <c r="G446" s="2" t="s">
        <v>33</v>
      </c>
      <c r="H446" s="2" t="s">
        <v>34</v>
      </c>
      <c r="I446" s="2" t="s">
        <v>66</v>
      </c>
      <c r="J446" s="2" t="s">
        <v>228</v>
      </c>
      <c r="K446" s="2" t="s">
        <v>45</v>
      </c>
      <c r="L446" s="2" t="n">
        <v>0</v>
      </c>
      <c r="M446" s="2" t="str">
        <f aca="false">IF(L446="","",IF(L446=0,"Low",IF(L446=1,"Medium","High")))</f>
        <v>Low</v>
      </c>
    </row>
    <row r="447" customFormat="false" ht="15" hidden="false" customHeight="false" outlineLevel="0" collapsed="false">
      <c r="A447" s="2" t="s">
        <v>708</v>
      </c>
      <c r="B447" s="2" t="s">
        <v>707</v>
      </c>
      <c r="C447" s="2" t="s">
        <v>39</v>
      </c>
      <c r="D447" s="6" t="n">
        <v>45808</v>
      </c>
      <c r="E447" s="2" t="s">
        <v>60</v>
      </c>
      <c r="F447" s="2" t="s">
        <v>41</v>
      </c>
      <c r="G447" s="2" t="s">
        <v>33</v>
      </c>
      <c r="H447" s="2" t="s">
        <v>43</v>
      </c>
      <c r="I447" s="2" t="s">
        <v>66</v>
      </c>
      <c r="J447" s="2" t="s">
        <v>228</v>
      </c>
      <c r="K447" s="2" t="s">
        <v>45</v>
      </c>
      <c r="L447" s="2" t="n">
        <v>0</v>
      </c>
      <c r="M447" s="2" t="str">
        <f aca="false">IF(L447="","",IF(L447=0,"Low",IF(L447=1,"Medium","High")))</f>
        <v>Low</v>
      </c>
    </row>
    <row r="448" customFormat="false" ht="15" hidden="false" customHeight="false" outlineLevel="0" collapsed="false">
      <c r="A448" s="2" t="s">
        <v>709</v>
      </c>
      <c r="B448" s="2" t="s">
        <v>707</v>
      </c>
      <c r="C448" s="2" t="s">
        <v>47</v>
      </c>
      <c r="D448" s="6" t="n">
        <v>46173</v>
      </c>
      <c r="E448" s="2" t="s">
        <v>60</v>
      </c>
      <c r="F448" s="2" t="s">
        <v>41</v>
      </c>
      <c r="G448" s="2" t="s">
        <v>33</v>
      </c>
      <c r="H448" s="2" t="s">
        <v>49</v>
      </c>
      <c r="I448" s="2" t="s">
        <v>66</v>
      </c>
      <c r="J448" s="2" t="s">
        <v>228</v>
      </c>
      <c r="K448" s="2" t="s">
        <v>45</v>
      </c>
      <c r="L448" s="2"/>
      <c r="M448" s="2" t="str">
        <f aca="false">IF(L448="","",IF(L448=0,"Low",IF(L448=1,"Medium","High")))</f>
        <v/>
      </c>
    </row>
    <row r="449" customFormat="false" ht="15" hidden="false" customHeight="false" outlineLevel="0" collapsed="false">
      <c r="A449" s="2" t="s">
        <v>710</v>
      </c>
      <c r="B449" s="2" t="s">
        <v>711</v>
      </c>
      <c r="C449" s="2" t="s">
        <v>30</v>
      </c>
      <c r="D449" s="6" t="n">
        <v>45443</v>
      </c>
      <c r="E449" s="2" t="s">
        <v>64</v>
      </c>
      <c r="F449" s="2" t="s">
        <v>65</v>
      </c>
      <c r="G449" s="2" t="s">
        <v>65</v>
      </c>
      <c r="H449" s="2" t="s">
        <v>49</v>
      </c>
      <c r="I449" s="2" t="s">
        <v>35</v>
      </c>
      <c r="J449" s="2" t="s">
        <v>36</v>
      </c>
      <c r="K449" s="2" t="s">
        <v>67</v>
      </c>
      <c r="L449" s="2" t="n">
        <v>0</v>
      </c>
      <c r="M449" s="2" t="str">
        <f aca="false">IF(L449="","",IF(L449=0,"Low",IF(L449=1,"Medium","High")))</f>
        <v>Low</v>
      </c>
    </row>
    <row r="450" customFormat="false" ht="15" hidden="false" customHeight="false" outlineLevel="0" collapsed="false">
      <c r="A450" s="2" t="s">
        <v>712</v>
      </c>
      <c r="B450" s="2" t="s">
        <v>711</v>
      </c>
      <c r="C450" s="2" t="s">
        <v>39</v>
      </c>
      <c r="D450" s="6" t="n">
        <v>45808</v>
      </c>
      <c r="E450" s="2" t="s">
        <v>64</v>
      </c>
      <c r="F450" s="2" t="s">
        <v>65</v>
      </c>
      <c r="G450" s="2" t="s">
        <v>65</v>
      </c>
      <c r="H450" s="2" t="s">
        <v>52</v>
      </c>
      <c r="I450" s="2" t="s">
        <v>35</v>
      </c>
      <c r="J450" s="2" t="s">
        <v>36</v>
      </c>
      <c r="K450" s="2" t="s">
        <v>67</v>
      </c>
      <c r="L450" s="2"/>
      <c r="M450" s="2" t="str">
        <f aca="false">IF(L450="","",IF(L450=0,"Low",IF(L450=1,"Medium","High")))</f>
        <v/>
      </c>
    </row>
    <row r="451" customFormat="false" ht="15" hidden="false" customHeight="false" outlineLevel="0" collapsed="false">
      <c r="A451" s="2" t="s">
        <v>713</v>
      </c>
      <c r="B451" s="2" t="s">
        <v>714</v>
      </c>
      <c r="C451" s="2" t="s">
        <v>30</v>
      </c>
      <c r="D451" s="6" t="n">
        <v>45443</v>
      </c>
      <c r="E451" s="2" t="s">
        <v>60</v>
      </c>
      <c r="F451" s="2" t="s">
        <v>56</v>
      </c>
      <c r="G451" s="2" t="s">
        <v>110</v>
      </c>
      <c r="H451" s="2" t="s">
        <v>34</v>
      </c>
      <c r="I451" s="2" t="s">
        <v>53</v>
      </c>
      <c r="J451" s="2" t="s">
        <v>44</v>
      </c>
      <c r="K451" s="2" t="s">
        <v>45</v>
      </c>
      <c r="L451" s="2" t="n">
        <v>3</v>
      </c>
      <c r="M451" s="2" t="str">
        <f aca="false">IF(L451="","",IF(L451=0,"Low",IF(L451=1,"Medium","High")))</f>
        <v>High</v>
      </c>
    </row>
    <row r="452" customFormat="false" ht="15" hidden="false" customHeight="false" outlineLevel="0" collapsed="false">
      <c r="A452" s="2" t="s">
        <v>715</v>
      </c>
      <c r="B452" s="2" t="s">
        <v>714</v>
      </c>
      <c r="C452" s="2" t="s">
        <v>39</v>
      </c>
      <c r="D452" s="6" t="n">
        <v>45808</v>
      </c>
      <c r="E452" s="2" t="s">
        <v>40</v>
      </c>
      <c r="F452" s="2" t="s">
        <v>41</v>
      </c>
      <c r="G452" s="2" t="s">
        <v>42</v>
      </c>
      <c r="H452" s="2" t="s">
        <v>43</v>
      </c>
      <c r="I452" s="2" t="s">
        <v>53</v>
      </c>
      <c r="J452" s="2" t="s">
        <v>44</v>
      </c>
      <c r="K452" s="2" t="s">
        <v>45</v>
      </c>
      <c r="L452" s="2" t="n">
        <v>5</v>
      </c>
      <c r="M452" s="2" t="str">
        <f aca="false">IF(L452="","",IF(L452=0,"Low",IF(L452=1,"Medium","High")))</f>
        <v>High</v>
      </c>
    </row>
    <row r="453" customFormat="false" ht="15" hidden="false" customHeight="false" outlineLevel="0" collapsed="false">
      <c r="A453" s="2" t="s">
        <v>716</v>
      </c>
      <c r="B453" s="2" t="s">
        <v>714</v>
      </c>
      <c r="C453" s="2" t="s">
        <v>47</v>
      </c>
      <c r="D453" s="6" t="n">
        <v>46173</v>
      </c>
      <c r="E453" s="2" t="s">
        <v>40</v>
      </c>
      <c r="F453" s="2" t="s">
        <v>41</v>
      </c>
      <c r="G453" s="2" t="s">
        <v>42</v>
      </c>
      <c r="H453" s="2" t="s">
        <v>49</v>
      </c>
      <c r="I453" s="2" t="s">
        <v>53</v>
      </c>
      <c r="J453" s="2" t="s">
        <v>79</v>
      </c>
      <c r="K453" s="2" t="s">
        <v>57</v>
      </c>
      <c r="L453" s="2"/>
      <c r="M453" s="2" t="str">
        <f aca="false">IF(L453="","",IF(L453=0,"Low",IF(L453=1,"Medium","High")))</f>
        <v/>
      </c>
    </row>
    <row r="454" customFormat="false" ht="15" hidden="false" customHeight="false" outlineLevel="0" collapsed="false">
      <c r="A454" s="2" t="s">
        <v>717</v>
      </c>
      <c r="B454" s="2" t="s">
        <v>718</v>
      </c>
      <c r="C454" s="2" t="s">
        <v>30</v>
      </c>
      <c r="D454" s="6" t="n">
        <v>45443</v>
      </c>
      <c r="E454" s="2" t="s">
        <v>64</v>
      </c>
      <c r="F454" s="2" t="s">
        <v>65</v>
      </c>
      <c r="G454" s="2" t="s">
        <v>65</v>
      </c>
      <c r="H454" s="2" t="s">
        <v>34</v>
      </c>
      <c r="I454" s="2" t="s">
        <v>53</v>
      </c>
      <c r="J454" s="2" t="s">
        <v>36</v>
      </c>
      <c r="K454" s="2" t="s">
        <v>67</v>
      </c>
      <c r="L454" s="2" t="n">
        <v>0</v>
      </c>
      <c r="M454" s="2" t="str">
        <f aca="false">IF(L454="","",IF(L454=0,"Low",IF(L454=1,"Medium","High")))</f>
        <v>Low</v>
      </c>
    </row>
    <row r="455" customFormat="false" ht="15" hidden="false" customHeight="false" outlineLevel="0" collapsed="false">
      <c r="A455" s="2" t="s">
        <v>719</v>
      </c>
      <c r="B455" s="2" t="s">
        <v>718</v>
      </c>
      <c r="C455" s="2" t="s">
        <v>39</v>
      </c>
      <c r="D455" s="6" t="n">
        <v>45808</v>
      </c>
      <c r="E455" s="2" t="s">
        <v>64</v>
      </c>
      <c r="F455" s="2" t="s">
        <v>65</v>
      </c>
      <c r="G455" s="2" t="s">
        <v>65</v>
      </c>
      <c r="H455" s="2" t="s">
        <v>43</v>
      </c>
      <c r="I455" s="2" t="s">
        <v>53</v>
      </c>
      <c r="J455" s="2" t="s">
        <v>36</v>
      </c>
      <c r="K455" s="2" t="s">
        <v>67</v>
      </c>
      <c r="L455" s="2" t="n">
        <v>1</v>
      </c>
      <c r="M455" s="2" t="str">
        <f aca="false">IF(L455="","",IF(L455=0,"Low",IF(L455=1,"Medium","High")))</f>
        <v>Medium</v>
      </c>
    </row>
    <row r="456" customFormat="false" ht="15" hidden="false" customHeight="false" outlineLevel="0" collapsed="false">
      <c r="A456" s="2" t="s">
        <v>720</v>
      </c>
      <c r="B456" s="2" t="s">
        <v>718</v>
      </c>
      <c r="C456" s="2" t="s">
        <v>47</v>
      </c>
      <c r="D456" s="6" t="n">
        <v>46173</v>
      </c>
      <c r="E456" s="2" t="s">
        <v>31</v>
      </c>
      <c r="F456" s="2" t="s">
        <v>32</v>
      </c>
      <c r="G456" s="2" t="s">
        <v>33</v>
      </c>
      <c r="H456" s="2" t="s">
        <v>49</v>
      </c>
      <c r="I456" s="2" t="s">
        <v>53</v>
      </c>
      <c r="J456" s="2" t="s">
        <v>36</v>
      </c>
      <c r="K456" s="2" t="s">
        <v>57</v>
      </c>
      <c r="L456" s="2"/>
      <c r="M456" s="2" t="str">
        <f aca="false">IF(L456="","",IF(L456=0,"Low",IF(L456=1,"Medium","High")))</f>
        <v/>
      </c>
    </row>
    <row r="457" customFormat="false" ht="15" hidden="false" customHeight="false" outlineLevel="0" collapsed="false">
      <c r="A457" s="2" t="s">
        <v>721</v>
      </c>
      <c r="B457" s="2" t="s">
        <v>722</v>
      </c>
      <c r="C457" s="2" t="s">
        <v>30</v>
      </c>
      <c r="D457" s="6" t="n">
        <v>45443</v>
      </c>
      <c r="E457" s="2" t="s">
        <v>31</v>
      </c>
      <c r="F457" s="2" t="s">
        <v>32</v>
      </c>
      <c r="G457" s="2" t="s">
        <v>33</v>
      </c>
      <c r="H457" s="2" t="s">
        <v>34</v>
      </c>
      <c r="I457" s="2" t="s">
        <v>35</v>
      </c>
      <c r="J457" s="2" t="s">
        <v>36</v>
      </c>
      <c r="K457" s="2" t="s">
        <v>37</v>
      </c>
      <c r="L457" s="2" t="n">
        <v>2</v>
      </c>
      <c r="M457" s="2" t="str">
        <f aca="false">IF(L457="","",IF(L457=0,"Low",IF(L457=1,"Medium","High")))</f>
        <v>High</v>
      </c>
    </row>
    <row r="458" customFormat="false" ht="15" hidden="false" customHeight="false" outlineLevel="0" collapsed="false">
      <c r="A458" s="2" t="s">
        <v>723</v>
      </c>
      <c r="B458" s="2" t="s">
        <v>722</v>
      </c>
      <c r="C458" s="2" t="s">
        <v>39</v>
      </c>
      <c r="D458" s="6" t="n">
        <v>45808</v>
      </c>
      <c r="E458" s="2" t="s">
        <v>60</v>
      </c>
      <c r="F458" s="2" t="s">
        <v>41</v>
      </c>
      <c r="G458" s="2" t="s">
        <v>33</v>
      </c>
      <c r="H458" s="2" t="s">
        <v>43</v>
      </c>
      <c r="I458" s="2" t="s">
        <v>35</v>
      </c>
      <c r="J458" s="2" t="s">
        <v>44</v>
      </c>
      <c r="K458" s="2" t="s">
        <v>37</v>
      </c>
      <c r="L458" s="2" t="n">
        <v>4</v>
      </c>
      <c r="M458" s="2" t="str">
        <f aca="false">IF(L458="","",IF(L458=0,"Low",IF(L458=1,"Medium","High")))</f>
        <v>High</v>
      </c>
    </row>
    <row r="459" customFormat="false" ht="15" hidden="false" customHeight="false" outlineLevel="0" collapsed="false">
      <c r="A459" s="2" t="s">
        <v>724</v>
      </c>
      <c r="B459" s="2" t="s">
        <v>722</v>
      </c>
      <c r="C459" s="2" t="s">
        <v>47</v>
      </c>
      <c r="D459" s="6" t="n">
        <v>46173</v>
      </c>
      <c r="E459" s="2" t="s">
        <v>40</v>
      </c>
      <c r="F459" s="2" t="s">
        <v>41</v>
      </c>
      <c r="G459" s="2" t="s">
        <v>42</v>
      </c>
      <c r="H459" s="2" t="s">
        <v>49</v>
      </c>
      <c r="I459" s="2" t="s">
        <v>35</v>
      </c>
      <c r="J459" s="2" t="s">
        <v>44</v>
      </c>
      <c r="K459" s="2" t="s">
        <v>57</v>
      </c>
      <c r="L459" s="2"/>
      <c r="M459" s="2" t="str">
        <f aca="false">IF(L459="","",IF(L459=0,"Low",IF(L459=1,"Medium","High")))</f>
        <v/>
      </c>
    </row>
    <row r="460" customFormat="false" ht="15" hidden="false" customHeight="false" outlineLevel="0" collapsed="false">
      <c r="A460" s="2" t="s">
        <v>725</v>
      </c>
      <c r="B460" s="2" t="s">
        <v>726</v>
      </c>
      <c r="C460" s="2" t="s">
        <v>30</v>
      </c>
      <c r="D460" s="6" t="n">
        <v>45443</v>
      </c>
      <c r="E460" s="2" t="s">
        <v>64</v>
      </c>
      <c r="F460" s="2" t="s">
        <v>65</v>
      </c>
      <c r="G460" s="2" t="s">
        <v>65</v>
      </c>
      <c r="H460" s="2" t="s">
        <v>52</v>
      </c>
      <c r="I460" s="2" t="s">
        <v>35</v>
      </c>
      <c r="J460" s="2" t="s">
        <v>36</v>
      </c>
      <c r="K460" s="2" t="s">
        <v>67</v>
      </c>
      <c r="L460" s="2"/>
      <c r="M460" s="2" t="str">
        <f aca="false">IF(L460="","",IF(L460=0,"Low",IF(L460=1,"Medium","High")))</f>
        <v/>
      </c>
    </row>
    <row r="461" customFormat="false" ht="15" hidden="false" customHeight="false" outlineLevel="0" collapsed="false">
      <c r="A461" s="2" t="s">
        <v>727</v>
      </c>
      <c r="B461" s="2" t="s">
        <v>728</v>
      </c>
      <c r="C461" s="2" t="s">
        <v>30</v>
      </c>
      <c r="D461" s="6" t="n">
        <v>45443</v>
      </c>
      <c r="E461" s="2" t="s">
        <v>64</v>
      </c>
      <c r="F461" s="2" t="s">
        <v>65</v>
      </c>
      <c r="G461" s="2" t="s">
        <v>65</v>
      </c>
      <c r="H461" s="2" t="s">
        <v>49</v>
      </c>
      <c r="I461" s="2" t="s">
        <v>53</v>
      </c>
      <c r="J461" s="2" t="s">
        <v>36</v>
      </c>
      <c r="K461" s="2" t="s">
        <v>67</v>
      </c>
      <c r="L461" s="2" t="n">
        <v>1</v>
      </c>
      <c r="M461" s="2" t="str">
        <f aca="false">IF(L461="","",IF(L461=0,"Low",IF(L461=1,"Medium","High")))</f>
        <v>Medium</v>
      </c>
    </row>
    <row r="462" customFormat="false" ht="15" hidden="false" customHeight="false" outlineLevel="0" collapsed="false">
      <c r="A462" s="2" t="s">
        <v>729</v>
      </c>
      <c r="B462" s="2" t="s">
        <v>728</v>
      </c>
      <c r="C462" s="2" t="s">
        <v>39</v>
      </c>
      <c r="D462" s="6" t="n">
        <v>45808</v>
      </c>
      <c r="E462" s="2" t="s">
        <v>31</v>
      </c>
      <c r="F462" s="2" t="s">
        <v>32</v>
      </c>
      <c r="G462" s="2" t="s">
        <v>42</v>
      </c>
      <c r="H462" s="2" t="s">
        <v>52</v>
      </c>
      <c r="I462" s="2" t="s">
        <v>53</v>
      </c>
      <c r="J462" s="2" t="s">
        <v>36</v>
      </c>
      <c r="K462" s="2" t="s">
        <v>67</v>
      </c>
      <c r="L462" s="2"/>
      <c r="M462" s="2" t="str">
        <f aca="false">IF(L462="","",IF(L462=0,"Low",IF(L462=1,"Medium","High")))</f>
        <v/>
      </c>
    </row>
    <row r="463" customFormat="false" ht="15" hidden="false" customHeight="false" outlineLevel="0" collapsed="false">
      <c r="A463" s="2" t="s">
        <v>730</v>
      </c>
      <c r="B463" s="2" t="s">
        <v>731</v>
      </c>
      <c r="C463" s="2" t="s">
        <v>30</v>
      </c>
      <c r="D463" s="6" t="n">
        <v>45443</v>
      </c>
      <c r="E463" s="2" t="s">
        <v>60</v>
      </c>
      <c r="F463" s="2" t="s">
        <v>32</v>
      </c>
      <c r="G463" s="2" t="s">
        <v>42</v>
      </c>
      <c r="H463" s="2" t="s">
        <v>34</v>
      </c>
      <c r="I463" s="2" t="s">
        <v>86</v>
      </c>
      <c r="J463" s="2" t="s">
        <v>44</v>
      </c>
      <c r="K463" s="2" t="s">
        <v>37</v>
      </c>
      <c r="L463" s="2" t="n">
        <v>0</v>
      </c>
      <c r="M463" s="2" t="str">
        <f aca="false">IF(L463="","",IF(L463=0,"Low",IF(L463=1,"Medium","High")))</f>
        <v>Low</v>
      </c>
    </row>
    <row r="464" customFormat="false" ht="15" hidden="false" customHeight="false" outlineLevel="0" collapsed="false">
      <c r="A464" s="2" t="s">
        <v>732</v>
      </c>
      <c r="B464" s="2" t="s">
        <v>731</v>
      </c>
      <c r="C464" s="2" t="s">
        <v>39</v>
      </c>
      <c r="D464" s="6" t="n">
        <v>45808</v>
      </c>
      <c r="E464" s="2" t="s">
        <v>60</v>
      </c>
      <c r="F464" s="2" t="s">
        <v>32</v>
      </c>
      <c r="G464" s="2" t="s">
        <v>33</v>
      </c>
      <c r="H464" s="2" t="s">
        <v>43</v>
      </c>
      <c r="I464" s="2" t="s">
        <v>86</v>
      </c>
      <c r="J464" s="2" t="s">
        <v>44</v>
      </c>
      <c r="K464" s="2" t="s">
        <v>37</v>
      </c>
      <c r="L464" s="2" t="n">
        <v>0</v>
      </c>
      <c r="M464" s="2" t="str">
        <f aca="false">IF(L464="","",IF(L464=0,"Low",IF(L464=1,"Medium","High")))</f>
        <v>Low</v>
      </c>
    </row>
    <row r="465" customFormat="false" ht="15" hidden="false" customHeight="false" outlineLevel="0" collapsed="false">
      <c r="A465" s="2" t="s">
        <v>733</v>
      </c>
      <c r="B465" s="2" t="s">
        <v>731</v>
      </c>
      <c r="C465" s="2" t="s">
        <v>47</v>
      </c>
      <c r="D465" s="6" t="n">
        <v>46173</v>
      </c>
      <c r="E465" s="2" t="s">
        <v>60</v>
      </c>
      <c r="F465" s="2" t="s">
        <v>32</v>
      </c>
      <c r="G465" s="2" t="s">
        <v>33</v>
      </c>
      <c r="H465" s="2" t="s">
        <v>49</v>
      </c>
      <c r="I465" s="2" t="s">
        <v>86</v>
      </c>
      <c r="J465" s="2" t="s">
        <v>44</v>
      </c>
      <c r="K465" s="2" t="s">
        <v>37</v>
      </c>
      <c r="L465" s="2"/>
      <c r="M465" s="2" t="str">
        <f aca="false">IF(L465="","",IF(L465=0,"Low",IF(L465=1,"Medium","High")))</f>
        <v/>
      </c>
    </row>
    <row r="466" customFormat="false" ht="15" hidden="false" customHeight="false" outlineLevel="0" collapsed="false">
      <c r="A466" s="2" t="s">
        <v>734</v>
      </c>
      <c r="B466" s="2" t="s">
        <v>735</v>
      </c>
      <c r="C466" s="2" t="s">
        <v>30</v>
      </c>
      <c r="D466" s="6" t="n">
        <v>45443</v>
      </c>
      <c r="E466" s="2" t="s">
        <v>64</v>
      </c>
      <c r="F466" s="2" t="s">
        <v>65</v>
      </c>
      <c r="G466" s="2" t="s">
        <v>65</v>
      </c>
      <c r="H466" s="2" t="s">
        <v>34</v>
      </c>
      <c r="I466" s="2" t="s">
        <v>53</v>
      </c>
      <c r="J466" s="2" t="s">
        <v>36</v>
      </c>
      <c r="K466" s="2" t="s">
        <v>67</v>
      </c>
      <c r="L466" s="2" t="n">
        <v>1</v>
      </c>
      <c r="M466" s="2" t="str">
        <f aca="false">IF(L466="","",IF(L466=0,"Low",IF(L466=1,"Medium","High")))</f>
        <v>Medium</v>
      </c>
    </row>
    <row r="467" customFormat="false" ht="15" hidden="false" customHeight="false" outlineLevel="0" collapsed="false">
      <c r="A467" s="2" t="s">
        <v>736</v>
      </c>
      <c r="B467" s="2" t="s">
        <v>735</v>
      </c>
      <c r="C467" s="2" t="s">
        <v>39</v>
      </c>
      <c r="D467" s="6" t="n">
        <v>45808</v>
      </c>
      <c r="E467" s="2" t="s">
        <v>31</v>
      </c>
      <c r="F467" s="2" t="s">
        <v>56</v>
      </c>
      <c r="G467" s="2" t="s">
        <v>110</v>
      </c>
      <c r="H467" s="2" t="s">
        <v>43</v>
      </c>
      <c r="I467" s="2" t="s">
        <v>53</v>
      </c>
      <c r="J467" s="2" t="s">
        <v>36</v>
      </c>
      <c r="K467" s="2" t="s">
        <v>57</v>
      </c>
      <c r="L467" s="2" t="n">
        <v>0</v>
      </c>
      <c r="M467" s="2" t="str">
        <f aca="false">IF(L467="","",IF(L467=0,"Low",IF(L467=1,"Medium","High")))</f>
        <v>Low</v>
      </c>
    </row>
    <row r="468" customFormat="false" ht="15" hidden="false" customHeight="false" outlineLevel="0" collapsed="false">
      <c r="A468" s="2" t="s">
        <v>737</v>
      </c>
      <c r="B468" s="2" t="s">
        <v>735</v>
      </c>
      <c r="C468" s="2" t="s">
        <v>47</v>
      </c>
      <c r="D468" s="6" t="n">
        <v>46173</v>
      </c>
      <c r="E468" s="2" t="s">
        <v>31</v>
      </c>
      <c r="F468" s="2" t="s">
        <v>56</v>
      </c>
      <c r="G468" s="2" t="s">
        <v>33</v>
      </c>
      <c r="H468" s="2" t="s">
        <v>49</v>
      </c>
      <c r="I468" s="2" t="s">
        <v>53</v>
      </c>
      <c r="J468" s="2" t="s">
        <v>36</v>
      </c>
      <c r="K468" s="2" t="s">
        <v>57</v>
      </c>
      <c r="L468" s="2"/>
      <c r="M468" s="2" t="str">
        <f aca="false">IF(L468="","",IF(L468=0,"Low",IF(L468=1,"Medium","High")))</f>
        <v/>
      </c>
    </row>
    <row r="469" customFormat="false" ht="15" hidden="false" customHeight="false" outlineLevel="0" collapsed="false">
      <c r="A469" s="2" t="s">
        <v>738</v>
      </c>
      <c r="B469" s="2" t="s">
        <v>739</v>
      </c>
      <c r="C469" s="2" t="s">
        <v>30</v>
      </c>
      <c r="D469" s="6" t="n">
        <v>45443</v>
      </c>
      <c r="E469" s="2" t="s">
        <v>64</v>
      </c>
      <c r="F469" s="2" t="s">
        <v>65</v>
      </c>
      <c r="G469" s="2" t="s">
        <v>65</v>
      </c>
      <c r="H469" s="2" t="s">
        <v>34</v>
      </c>
      <c r="I469" s="2" t="s">
        <v>86</v>
      </c>
      <c r="J469" s="2" t="s">
        <v>36</v>
      </c>
      <c r="K469" s="2" t="s">
        <v>67</v>
      </c>
      <c r="L469" s="2" t="n">
        <v>0</v>
      </c>
      <c r="M469" s="2" t="str">
        <f aca="false">IF(L469="","",IF(L469=0,"Low",IF(L469=1,"Medium","High")))</f>
        <v>Low</v>
      </c>
    </row>
    <row r="470" customFormat="false" ht="15" hidden="false" customHeight="false" outlineLevel="0" collapsed="false">
      <c r="A470" s="2" t="s">
        <v>740</v>
      </c>
      <c r="B470" s="2" t="s">
        <v>739</v>
      </c>
      <c r="C470" s="2" t="s">
        <v>39</v>
      </c>
      <c r="D470" s="6" t="n">
        <v>45808</v>
      </c>
      <c r="E470" s="2" t="s">
        <v>64</v>
      </c>
      <c r="F470" s="2" t="s">
        <v>65</v>
      </c>
      <c r="G470" s="2" t="s">
        <v>65</v>
      </c>
      <c r="H470" s="2" t="s">
        <v>43</v>
      </c>
      <c r="I470" s="2" t="s">
        <v>86</v>
      </c>
      <c r="J470" s="2" t="s">
        <v>36</v>
      </c>
      <c r="K470" s="2" t="s">
        <v>67</v>
      </c>
      <c r="L470" s="2" t="n">
        <v>1</v>
      </c>
      <c r="M470" s="2" t="str">
        <f aca="false">IF(L470="","",IF(L470=0,"Low",IF(L470=1,"Medium","High")))</f>
        <v>Medium</v>
      </c>
    </row>
    <row r="471" customFormat="false" ht="15" hidden="false" customHeight="false" outlineLevel="0" collapsed="false">
      <c r="A471" s="2" t="s">
        <v>741</v>
      </c>
      <c r="B471" s="2" t="s">
        <v>739</v>
      </c>
      <c r="C471" s="2" t="s">
        <v>47</v>
      </c>
      <c r="D471" s="6" t="n">
        <v>46173</v>
      </c>
      <c r="E471" s="2" t="s">
        <v>31</v>
      </c>
      <c r="F471" s="2" t="s">
        <v>56</v>
      </c>
      <c r="G471" s="2" t="s">
        <v>33</v>
      </c>
      <c r="H471" s="2" t="s">
        <v>49</v>
      </c>
      <c r="I471" s="2" t="s">
        <v>86</v>
      </c>
      <c r="J471" s="2" t="s">
        <v>36</v>
      </c>
      <c r="K471" s="2" t="s">
        <v>45</v>
      </c>
      <c r="L471" s="2"/>
      <c r="M471" s="2" t="str">
        <f aca="false">IF(L471="","",IF(L471=0,"Low",IF(L471=1,"Medium","High")))</f>
        <v/>
      </c>
    </row>
    <row r="472" customFormat="false" ht="15" hidden="false" customHeight="false" outlineLevel="0" collapsed="false">
      <c r="A472" s="2" t="s">
        <v>742</v>
      </c>
      <c r="B472" s="2" t="s">
        <v>743</v>
      </c>
      <c r="C472" s="2" t="s">
        <v>30</v>
      </c>
      <c r="D472" s="6" t="n">
        <v>45443</v>
      </c>
      <c r="E472" s="2" t="s">
        <v>64</v>
      </c>
      <c r="F472" s="2" t="s">
        <v>65</v>
      </c>
      <c r="G472" s="2" t="s">
        <v>65</v>
      </c>
      <c r="H472" s="2" t="s">
        <v>52</v>
      </c>
      <c r="I472" s="2" t="s">
        <v>66</v>
      </c>
      <c r="J472" s="2" t="s">
        <v>36</v>
      </c>
      <c r="K472" s="2" t="s">
        <v>67</v>
      </c>
      <c r="L472" s="2"/>
      <c r="M472" s="2" t="str">
        <f aca="false">IF(L472="","",IF(L472=0,"Low",IF(L472=1,"Medium","High")))</f>
        <v/>
      </c>
    </row>
    <row r="473" customFormat="false" ht="15" hidden="false" customHeight="false" outlineLevel="0" collapsed="false">
      <c r="A473" s="2" t="s">
        <v>744</v>
      </c>
      <c r="B473" s="2" t="s">
        <v>745</v>
      </c>
      <c r="C473" s="2" t="s">
        <v>30</v>
      </c>
      <c r="D473" s="6" t="n">
        <v>45443</v>
      </c>
      <c r="E473" s="2" t="s">
        <v>60</v>
      </c>
      <c r="F473" s="2" t="s">
        <v>32</v>
      </c>
      <c r="G473" s="2" t="s">
        <v>48</v>
      </c>
      <c r="H473" s="2" t="s">
        <v>43</v>
      </c>
      <c r="I473" s="2" t="s">
        <v>35</v>
      </c>
      <c r="J473" s="2" t="s">
        <v>44</v>
      </c>
      <c r="K473" s="2" t="s">
        <v>67</v>
      </c>
      <c r="L473" s="2" t="n">
        <v>1</v>
      </c>
      <c r="M473" s="2" t="str">
        <f aca="false">IF(L473="","",IF(L473=0,"Low",IF(L473=1,"Medium","High")))</f>
        <v>Medium</v>
      </c>
    </row>
    <row r="474" customFormat="false" ht="15" hidden="false" customHeight="false" outlineLevel="0" collapsed="false">
      <c r="A474" s="2" t="s">
        <v>746</v>
      </c>
      <c r="B474" s="2" t="s">
        <v>745</v>
      </c>
      <c r="C474" s="2" t="s">
        <v>39</v>
      </c>
      <c r="D474" s="6" t="n">
        <v>45808</v>
      </c>
      <c r="E474" s="2" t="s">
        <v>60</v>
      </c>
      <c r="F474" s="2" t="s">
        <v>32</v>
      </c>
      <c r="G474" s="2" t="s">
        <v>33</v>
      </c>
      <c r="H474" s="2" t="s">
        <v>49</v>
      </c>
      <c r="I474" s="2" t="s">
        <v>35</v>
      </c>
      <c r="J474" s="2" t="s">
        <v>44</v>
      </c>
      <c r="K474" s="2" t="s">
        <v>37</v>
      </c>
      <c r="L474" s="2" t="n">
        <v>0</v>
      </c>
      <c r="M474" s="2" t="str">
        <f aca="false">IF(L474="","",IF(L474=0,"Low",IF(L474=1,"Medium","High")))</f>
        <v>Low</v>
      </c>
    </row>
    <row r="475" customFormat="false" ht="15" hidden="false" customHeight="false" outlineLevel="0" collapsed="false">
      <c r="A475" s="2" t="s">
        <v>747</v>
      </c>
      <c r="B475" s="2" t="s">
        <v>745</v>
      </c>
      <c r="C475" s="2" t="s">
        <v>47</v>
      </c>
      <c r="D475" s="6" t="n">
        <v>46173</v>
      </c>
      <c r="E475" s="2" t="s">
        <v>60</v>
      </c>
      <c r="F475" s="2" t="s">
        <v>32</v>
      </c>
      <c r="G475" s="2" t="s">
        <v>33</v>
      </c>
      <c r="H475" s="2" t="s">
        <v>52</v>
      </c>
      <c r="I475" s="2" t="s">
        <v>35</v>
      </c>
      <c r="J475" s="2" t="s">
        <v>44</v>
      </c>
      <c r="K475" s="2" t="s">
        <v>37</v>
      </c>
      <c r="L475" s="2"/>
      <c r="M475" s="2" t="str">
        <f aca="false">IF(L475="","",IF(L475=0,"Low",IF(L475=1,"Medium","High")))</f>
        <v/>
      </c>
    </row>
    <row r="476" customFormat="false" ht="15" hidden="false" customHeight="false" outlineLevel="0" collapsed="false">
      <c r="A476" s="2" t="s">
        <v>748</v>
      </c>
      <c r="B476" s="2" t="s">
        <v>749</v>
      </c>
      <c r="C476" s="2" t="s">
        <v>30</v>
      </c>
      <c r="D476" s="6" t="n">
        <v>45443</v>
      </c>
      <c r="E476" s="2" t="s">
        <v>64</v>
      </c>
      <c r="F476" s="2" t="s">
        <v>65</v>
      </c>
      <c r="G476" s="2" t="s">
        <v>65</v>
      </c>
      <c r="H476" s="2" t="s">
        <v>52</v>
      </c>
      <c r="I476" s="2" t="s">
        <v>35</v>
      </c>
      <c r="J476" s="2" t="s">
        <v>36</v>
      </c>
      <c r="K476" s="2" t="s">
        <v>67</v>
      </c>
      <c r="L476" s="2"/>
      <c r="M476" s="2" t="str">
        <f aca="false">IF(L476="","",IF(L476=0,"Low",IF(L476=1,"Medium","High")))</f>
        <v/>
      </c>
    </row>
    <row r="477" customFormat="false" ht="15" hidden="false" customHeight="false" outlineLevel="0" collapsed="false">
      <c r="A477" s="2" t="s">
        <v>750</v>
      </c>
      <c r="B477" s="2" t="s">
        <v>751</v>
      </c>
      <c r="C477" s="2" t="s">
        <v>30</v>
      </c>
      <c r="D477" s="6" t="n">
        <v>45443</v>
      </c>
      <c r="E477" s="2" t="s">
        <v>64</v>
      </c>
      <c r="F477" s="2" t="s">
        <v>65</v>
      </c>
      <c r="G477" s="2" t="s">
        <v>65</v>
      </c>
      <c r="H477" s="2" t="s">
        <v>34</v>
      </c>
      <c r="I477" s="2" t="s">
        <v>66</v>
      </c>
      <c r="J477" s="2" t="s">
        <v>36</v>
      </c>
      <c r="K477" s="2" t="s">
        <v>67</v>
      </c>
      <c r="L477" s="2" t="n">
        <v>2</v>
      </c>
      <c r="M477" s="2" t="str">
        <f aca="false">IF(L477="","",IF(L477=0,"Low",IF(L477=1,"Medium","High")))</f>
        <v>High</v>
      </c>
    </row>
    <row r="478" customFormat="false" ht="15" hidden="false" customHeight="false" outlineLevel="0" collapsed="false">
      <c r="A478" s="2" t="s">
        <v>752</v>
      </c>
      <c r="B478" s="2" t="s">
        <v>751</v>
      </c>
      <c r="C478" s="2" t="s">
        <v>39</v>
      </c>
      <c r="D478" s="6" t="n">
        <v>45808</v>
      </c>
      <c r="E478" s="2" t="s">
        <v>60</v>
      </c>
      <c r="F478" s="2" t="s">
        <v>41</v>
      </c>
      <c r="G478" s="2" t="s">
        <v>48</v>
      </c>
      <c r="H478" s="2" t="s">
        <v>43</v>
      </c>
      <c r="I478" s="2" t="s">
        <v>66</v>
      </c>
      <c r="J478" s="2" t="s">
        <v>44</v>
      </c>
      <c r="K478" s="2" t="s">
        <v>45</v>
      </c>
      <c r="L478" s="2" t="n">
        <v>0</v>
      </c>
      <c r="M478" s="2" t="str">
        <f aca="false">IF(L478="","",IF(L478=0,"Low",IF(L478=1,"Medium","High")))</f>
        <v>Low</v>
      </c>
    </row>
    <row r="479" customFormat="false" ht="15" hidden="false" customHeight="false" outlineLevel="0" collapsed="false">
      <c r="A479" s="2" t="s">
        <v>753</v>
      </c>
      <c r="B479" s="2" t="s">
        <v>751</v>
      </c>
      <c r="C479" s="2" t="s">
        <v>47</v>
      </c>
      <c r="D479" s="6" t="n">
        <v>46173</v>
      </c>
      <c r="E479" s="2" t="s">
        <v>60</v>
      </c>
      <c r="F479" s="2" t="s">
        <v>41</v>
      </c>
      <c r="G479" s="2" t="s">
        <v>33</v>
      </c>
      <c r="H479" s="2" t="s">
        <v>49</v>
      </c>
      <c r="I479" s="2" t="s">
        <v>66</v>
      </c>
      <c r="J479" s="2" t="s">
        <v>44</v>
      </c>
      <c r="K479" s="2" t="s">
        <v>45</v>
      </c>
      <c r="L479" s="2"/>
      <c r="M479" s="2" t="str">
        <f aca="false">IF(L479="","",IF(L479=0,"Low",IF(L479=1,"Medium","High")))</f>
        <v/>
      </c>
    </row>
    <row r="480" customFormat="false" ht="15" hidden="false" customHeight="false" outlineLevel="0" collapsed="false">
      <c r="A480" s="2" t="s">
        <v>754</v>
      </c>
      <c r="B480" s="2" t="s">
        <v>755</v>
      </c>
      <c r="C480" s="2" t="s">
        <v>30</v>
      </c>
      <c r="D480" s="6" t="n">
        <v>45443</v>
      </c>
      <c r="E480" s="2" t="s">
        <v>31</v>
      </c>
      <c r="F480" s="2" t="s">
        <v>32</v>
      </c>
      <c r="G480" s="2" t="s">
        <v>33</v>
      </c>
      <c r="H480" s="2" t="s">
        <v>49</v>
      </c>
      <c r="I480" s="2" t="s">
        <v>35</v>
      </c>
      <c r="J480" s="2" t="s">
        <v>36</v>
      </c>
      <c r="K480" s="2" t="s">
        <v>45</v>
      </c>
      <c r="L480" s="2" t="n">
        <v>0</v>
      </c>
      <c r="M480" s="2" t="str">
        <f aca="false">IF(L480="","",IF(L480=0,"Low",IF(L480=1,"Medium","High")))</f>
        <v>Low</v>
      </c>
    </row>
    <row r="481" customFormat="false" ht="15" hidden="false" customHeight="false" outlineLevel="0" collapsed="false">
      <c r="A481" s="2" t="s">
        <v>756</v>
      </c>
      <c r="B481" s="2" t="s">
        <v>755</v>
      </c>
      <c r="C481" s="2" t="s">
        <v>39</v>
      </c>
      <c r="D481" s="6" t="n">
        <v>45808</v>
      </c>
      <c r="E481" s="2" t="s">
        <v>31</v>
      </c>
      <c r="F481" s="2" t="s">
        <v>32</v>
      </c>
      <c r="G481" s="2" t="s">
        <v>33</v>
      </c>
      <c r="H481" s="2" t="s">
        <v>52</v>
      </c>
      <c r="I481" s="2" t="s">
        <v>35</v>
      </c>
      <c r="J481" s="2" t="s">
        <v>36</v>
      </c>
      <c r="K481" s="2" t="s">
        <v>45</v>
      </c>
      <c r="L481" s="2"/>
      <c r="M481" s="2" t="str">
        <f aca="false">IF(L481="","",IF(L481=0,"Low",IF(L481=1,"Medium","High")))</f>
        <v/>
      </c>
    </row>
    <row r="482" customFormat="false" ht="15" hidden="false" customHeight="false" outlineLevel="0" collapsed="false">
      <c r="A482" s="2" t="s">
        <v>757</v>
      </c>
      <c r="B482" s="2" t="s">
        <v>758</v>
      </c>
      <c r="C482" s="2" t="s">
        <v>30</v>
      </c>
      <c r="D482" s="6" t="n">
        <v>45443</v>
      </c>
      <c r="E482" s="2" t="s">
        <v>31</v>
      </c>
      <c r="F482" s="2" t="s">
        <v>32</v>
      </c>
      <c r="G482" s="2" t="s">
        <v>42</v>
      </c>
      <c r="H482" s="2" t="s">
        <v>34</v>
      </c>
      <c r="I482" s="2" t="s">
        <v>66</v>
      </c>
      <c r="J482" s="2" t="s">
        <v>36</v>
      </c>
      <c r="K482" s="2" t="s">
        <v>37</v>
      </c>
      <c r="L482" s="2" t="n">
        <v>0</v>
      </c>
      <c r="M482" s="2" t="str">
        <f aca="false">IF(L482="","",IF(L482=0,"Low",IF(L482=1,"Medium","High")))</f>
        <v>Low</v>
      </c>
    </row>
    <row r="483" customFormat="false" ht="15" hidden="false" customHeight="false" outlineLevel="0" collapsed="false">
      <c r="A483" s="2" t="s">
        <v>759</v>
      </c>
      <c r="B483" s="2" t="s">
        <v>758</v>
      </c>
      <c r="C483" s="2" t="s">
        <v>39</v>
      </c>
      <c r="D483" s="6" t="n">
        <v>45808</v>
      </c>
      <c r="E483" s="2" t="s">
        <v>31</v>
      </c>
      <c r="F483" s="2" t="s">
        <v>32</v>
      </c>
      <c r="G483" s="2" t="s">
        <v>33</v>
      </c>
      <c r="H483" s="2" t="s">
        <v>43</v>
      </c>
      <c r="I483" s="2" t="s">
        <v>66</v>
      </c>
      <c r="J483" s="2" t="s">
        <v>36</v>
      </c>
      <c r="K483" s="2" t="s">
        <v>37</v>
      </c>
      <c r="L483" s="2" t="n">
        <v>1</v>
      </c>
      <c r="M483" s="2" t="str">
        <f aca="false">IF(L483="","",IF(L483=0,"Low",IF(L483=1,"Medium","High")))</f>
        <v>Medium</v>
      </c>
    </row>
    <row r="484" customFormat="false" ht="15" hidden="false" customHeight="false" outlineLevel="0" collapsed="false">
      <c r="A484" s="2" t="s">
        <v>760</v>
      </c>
      <c r="B484" s="2" t="s">
        <v>758</v>
      </c>
      <c r="C484" s="2" t="s">
        <v>47</v>
      </c>
      <c r="D484" s="6" t="n">
        <v>46173</v>
      </c>
      <c r="E484" s="2" t="s">
        <v>60</v>
      </c>
      <c r="F484" s="2" t="s">
        <v>32</v>
      </c>
      <c r="G484" s="2" t="s">
        <v>33</v>
      </c>
      <c r="H484" s="2" t="s">
        <v>49</v>
      </c>
      <c r="I484" s="2" t="s">
        <v>66</v>
      </c>
      <c r="J484" s="2" t="s">
        <v>44</v>
      </c>
      <c r="K484" s="2" t="s">
        <v>45</v>
      </c>
      <c r="L484" s="2"/>
      <c r="M484" s="2" t="str">
        <f aca="false">IF(L484="","",IF(L484=0,"Low",IF(L484=1,"Medium","High")))</f>
        <v/>
      </c>
    </row>
    <row r="485" customFormat="false" ht="15" hidden="false" customHeight="false" outlineLevel="0" collapsed="false">
      <c r="A485" s="2" t="s">
        <v>761</v>
      </c>
      <c r="B485" s="2" t="s">
        <v>762</v>
      </c>
      <c r="C485" s="2" t="s">
        <v>30</v>
      </c>
      <c r="D485" s="6" t="n">
        <v>45443</v>
      </c>
      <c r="E485" s="2" t="s">
        <v>64</v>
      </c>
      <c r="F485" s="2" t="s">
        <v>65</v>
      </c>
      <c r="G485" s="2" t="s">
        <v>65</v>
      </c>
      <c r="H485" s="2" t="s">
        <v>43</v>
      </c>
      <c r="I485" s="2" t="s">
        <v>35</v>
      </c>
      <c r="J485" s="2" t="s">
        <v>36</v>
      </c>
      <c r="K485" s="2" t="s">
        <v>67</v>
      </c>
      <c r="L485" s="2" t="n">
        <v>1</v>
      </c>
      <c r="M485" s="2" t="str">
        <f aca="false">IF(L485="","",IF(L485=0,"Low",IF(L485=1,"Medium","High")))</f>
        <v>Medium</v>
      </c>
    </row>
    <row r="486" customFormat="false" ht="15" hidden="false" customHeight="false" outlineLevel="0" collapsed="false">
      <c r="A486" s="2" t="s">
        <v>763</v>
      </c>
      <c r="B486" s="2" t="s">
        <v>762</v>
      </c>
      <c r="C486" s="2" t="s">
        <v>39</v>
      </c>
      <c r="D486" s="6" t="n">
        <v>45808</v>
      </c>
      <c r="E486" s="2" t="s">
        <v>31</v>
      </c>
      <c r="F486" s="2" t="s">
        <v>32</v>
      </c>
      <c r="G486" s="2" t="s">
        <v>48</v>
      </c>
      <c r="H486" s="2" t="s">
        <v>49</v>
      </c>
      <c r="I486" s="2" t="s">
        <v>35</v>
      </c>
      <c r="J486" s="2" t="s">
        <v>36</v>
      </c>
      <c r="K486" s="2" t="s">
        <v>37</v>
      </c>
      <c r="L486" s="2" t="n">
        <v>0</v>
      </c>
      <c r="M486" s="2" t="str">
        <f aca="false">IF(L486="","",IF(L486=0,"Low",IF(L486=1,"Medium","High")))</f>
        <v>Low</v>
      </c>
    </row>
    <row r="487" customFormat="false" ht="15" hidden="false" customHeight="false" outlineLevel="0" collapsed="false">
      <c r="A487" s="2" t="s">
        <v>764</v>
      </c>
      <c r="B487" s="2" t="s">
        <v>762</v>
      </c>
      <c r="C487" s="2" t="s">
        <v>47</v>
      </c>
      <c r="D487" s="6" t="n">
        <v>46173</v>
      </c>
      <c r="E487" s="2" t="s">
        <v>31</v>
      </c>
      <c r="F487" s="2" t="s">
        <v>32</v>
      </c>
      <c r="G487" s="2" t="s">
        <v>33</v>
      </c>
      <c r="H487" s="2" t="s">
        <v>52</v>
      </c>
      <c r="I487" s="2" t="s">
        <v>35</v>
      </c>
      <c r="J487" s="2" t="s">
        <v>36</v>
      </c>
      <c r="K487" s="2" t="s">
        <v>37</v>
      </c>
      <c r="L487" s="2"/>
      <c r="M487" s="2" t="str">
        <f aca="false">IF(L487="","",IF(L487=0,"Low",IF(L487=1,"Medium","High")))</f>
        <v/>
      </c>
    </row>
    <row r="488" customFormat="false" ht="15" hidden="false" customHeight="false" outlineLevel="0" collapsed="false">
      <c r="A488" s="2" t="s">
        <v>765</v>
      </c>
      <c r="B488" s="2" t="s">
        <v>766</v>
      </c>
      <c r="C488" s="2" t="s">
        <v>39</v>
      </c>
      <c r="D488" s="6" t="n">
        <v>45808</v>
      </c>
      <c r="E488" s="2" t="s">
        <v>60</v>
      </c>
      <c r="F488" s="2" t="s">
        <v>32</v>
      </c>
      <c r="G488" s="2" t="s">
        <v>33</v>
      </c>
      <c r="H488" s="2" t="s">
        <v>34</v>
      </c>
      <c r="I488" s="2" t="s">
        <v>86</v>
      </c>
      <c r="J488" s="2" t="s">
        <v>228</v>
      </c>
      <c r="K488" s="2" t="s">
        <v>67</v>
      </c>
      <c r="L488" s="2" t="n">
        <v>0</v>
      </c>
      <c r="M488" s="2" t="str">
        <f aca="false">IF(L488="","",IF(L488=0,"Low",IF(L488=1,"Medium","High")))</f>
        <v>Low</v>
      </c>
    </row>
    <row r="489" customFormat="false" ht="15" hidden="false" customHeight="false" outlineLevel="0" collapsed="false">
      <c r="A489" s="2" t="s">
        <v>767</v>
      </c>
      <c r="B489" s="2" t="s">
        <v>766</v>
      </c>
      <c r="C489" s="2" t="s">
        <v>47</v>
      </c>
      <c r="D489" s="6" t="n">
        <v>46173</v>
      </c>
      <c r="E489" s="2" t="s">
        <v>60</v>
      </c>
      <c r="F489" s="2" t="s">
        <v>32</v>
      </c>
      <c r="G489" s="2" t="s">
        <v>33</v>
      </c>
      <c r="H489" s="2" t="s">
        <v>43</v>
      </c>
      <c r="I489" s="2" t="s">
        <v>86</v>
      </c>
      <c r="J489" s="2" t="s">
        <v>228</v>
      </c>
      <c r="K489" s="2" t="s">
        <v>67</v>
      </c>
      <c r="L489" s="2"/>
      <c r="M489" s="2" t="str">
        <f aca="false">IF(L489="","",IF(L489=0,"Low",IF(L489=1,"Medium","High")))</f>
        <v/>
      </c>
    </row>
    <row r="490" customFormat="false" ht="15" hidden="false" customHeight="false" outlineLevel="0" collapsed="false">
      <c r="A490" s="2" t="s">
        <v>768</v>
      </c>
      <c r="B490" s="2" t="s">
        <v>769</v>
      </c>
      <c r="C490" s="2" t="s">
        <v>39</v>
      </c>
      <c r="D490" s="6" t="n">
        <v>45808</v>
      </c>
      <c r="E490" s="2" t="s">
        <v>64</v>
      </c>
      <c r="F490" s="2" t="s">
        <v>65</v>
      </c>
      <c r="G490" s="2" t="s">
        <v>65</v>
      </c>
      <c r="H490" s="2" t="s">
        <v>34</v>
      </c>
      <c r="I490" s="2" t="s">
        <v>86</v>
      </c>
      <c r="J490" s="2" t="s">
        <v>36</v>
      </c>
      <c r="K490" s="2" t="s">
        <v>67</v>
      </c>
      <c r="L490" s="2" t="n">
        <v>0</v>
      </c>
      <c r="M490" s="2" t="str">
        <f aca="false">IF(L490="","",IF(L490=0,"Low",IF(L490=1,"Medium","High")))</f>
        <v>Low</v>
      </c>
    </row>
    <row r="491" customFormat="false" ht="15" hidden="false" customHeight="false" outlineLevel="0" collapsed="false">
      <c r="A491" s="2" t="s">
        <v>770</v>
      </c>
      <c r="B491" s="2" t="s">
        <v>769</v>
      </c>
      <c r="C491" s="2" t="s">
        <v>47</v>
      </c>
      <c r="D491" s="6" t="n">
        <v>46173</v>
      </c>
      <c r="E491" s="2" t="s">
        <v>64</v>
      </c>
      <c r="F491" s="2" t="s">
        <v>65</v>
      </c>
      <c r="G491" s="2" t="s">
        <v>65</v>
      </c>
      <c r="H491" s="2" t="s">
        <v>43</v>
      </c>
      <c r="I491" s="2" t="s">
        <v>86</v>
      </c>
      <c r="J491" s="2" t="s">
        <v>36</v>
      </c>
      <c r="K491" s="2" t="s">
        <v>67</v>
      </c>
      <c r="L491" s="2"/>
      <c r="M491" s="2" t="str">
        <f aca="false">IF(L491="","",IF(L491=0,"Low",IF(L491=1,"Medium","High")))</f>
        <v/>
      </c>
    </row>
    <row r="492" customFormat="false" ht="15" hidden="false" customHeight="false" outlineLevel="0" collapsed="false">
      <c r="A492" s="2" t="s">
        <v>771</v>
      </c>
      <c r="B492" s="2" t="s">
        <v>772</v>
      </c>
      <c r="C492" s="2" t="s">
        <v>39</v>
      </c>
      <c r="D492" s="6" t="n">
        <v>45808</v>
      </c>
      <c r="E492" s="2" t="s">
        <v>60</v>
      </c>
      <c r="F492" s="2" t="s">
        <v>32</v>
      </c>
      <c r="G492" s="2" t="s">
        <v>33</v>
      </c>
      <c r="H492" s="2" t="s">
        <v>34</v>
      </c>
      <c r="I492" s="2" t="s">
        <v>35</v>
      </c>
      <c r="J492" s="2" t="s">
        <v>228</v>
      </c>
      <c r="K492" s="2" t="s">
        <v>45</v>
      </c>
      <c r="L492" s="2" t="n">
        <v>0</v>
      </c>
      <c r="M492" s="2" t="str">
        <f aca="false">IF(L492="","",IF(L492=0,"Low",IF(L492=1,"Medium","High")))</f>
        <v>Low</v>
      </c>
    </row>
    <row r="493" customFormat="false" ht="15" hidden="false" customHeight="false" outlineLevel="0" collapsed="false">
      <c r="A493" s="2" t="s">
        <v>773</v>
      </c>
      <c r="B493" s="2" t="s">
        <v>772</v>
      </c>
      <c r="C493" s="2" t="s">
        <v>47</v>
      </c>
      <c r="D493" s="6" t="n">
        <v>46173</v>
      </c>
      <c r="E493" s="2" t="s">
        <v>60</v>
      </c>
      <c r="F493" s="2" t="s">
        <v>32</v>
      </c>
      <c r="G493" s="2" t="s">
        <v>33</v>
      </c>
      <c r="H493" s="2" t="s">
        <v>43</v>
      </c>
      <c r="I493" s="2" t="s">
        <v>35</v>
      </c>
      <c r="J493" s="2" t="s">
        <v>228</v>
      </c>
      <c r="K493" s="2" t="s">
        <v>45</v>
      </c>
      <c r="L493" s="2"/>
      <c r="M493" s="2" t="str">
        <f aca="false">IF(L493="","",IF(L493=0,"Low",IF(L493=1,"Medium","High")))</f>
        <v/>
      </c>
    </row>
    <row r="494" customFormat="false" ht="15" hidden="false" customHeight="false" outlineLevel="0" collapsed="false">
      <c r="A494" s="2" t="s">
        <v>774</v>
      </c>
      <c r="B494" s="2" t="s">
        <v>775</v>
      </c>
      <c r="C494" s="2" t="s">
        <v>39</v>
      </c>
      <c r="D494" s="6" t="n">
        <v>45808</v>
      </c>
      <c r="E494" s="2" t="s">
        <v>60</v>
      </c>
      <c r="F494" s="2" t="s">
        <v>41</v>
      </c>
      <c r="G494" s="2" t="s">
        <v>110</v>
      </c>
      <c r="H494" s="2" t="s">
        <v>34</v>
      </c>
      <c r="I494" s="2" t="s">
        <v>66</v>
      </c>
      <c r="J494" s="2" t="s">
        <v>44</v>
      </c>
      <c r="K494" s="2" t="s">
        <v>67</v>
      </c>
      <c r="L494" s="2" t="n">
        <v>3</v>
      </c>
      <c r="M494" s="2" t="str">
        <f aca="false">IF(L494="","",IF(L494=0,"Low",IF(L494=1,"Medium","High")))</f>
        <v>High</v>
      </c>
    </row>
    <row r="495" customFormat="false" ht="15" hidden="false" customHeight="false" outlineLevel="0" collapsed="false">
      <c r="A495" s="2" t="s">
        <v>776</v>
      </c>
      <c r="B495" s="2" t="s">
        <v>775</v>
      </c>
      <c r="C495" s="2" t="s">
        <v>47</v>
      </c>
      <c r="D495" s="6" t="n">
        <v>46173</v>
      </c>
      <c r="E495" s="2" t="s">
        <v>40</v>
      </c>
      <c r="F495" s="2" t="s">
        <v>41</v>
      </c>
      <c r="G495" s="2" t="s">
        <v>42</v>
      </c>
      <c r="H495" s="2" t="s">
        <v>43</v>
      </c>
      <c r="I495" s="2" t="s">
        <v>66</v>
      </c>
      <c r="J495" s="2" t="s">
        <v>44</v>
      </c>
      <c r="K495" s="2" t="s">
        <v>57</v>
      </c>
      <c r="L495" s="2"/>
      <c r="M495" s="2" t="str">
        <f aca="false">IF(L495="","",IF(L495=0,"Low",IF(L495=1,"Medium","High")))</f>
        <v/>
      </c>
    </row>
    <row r="496" customFormat="false" ht="15" hidden="false" customHeight="false" outlineLevel="0" collapsed="false">
      <c r="A496" s="2" t="s">
        <v>777</v>
      </c>
      <c r="B496" s="2" t="s">
        <v>778</v>
      </c>
      <c r="C496" s="2" t="s">
        <v>39</v>
      </c>
      <c r="D496" s="6" t="n">
        <v>45808</v>
      </c>
      <c r="E496" s="2" t="s">
        <v>40</v>
      </c>
      <c r="F496" s="2" t="s">
        <v>41</v>
      </c>
      <c r="G496" s="2" t="s">
        <v>48</v>
      </c>
      <c r="H496" s="2" t="s">
        <v>34</v>
      </c>
      <c r="I496" s="2" t="s">
        <v>86</v>
      </c>
      <c r="J496" s="2" t="s">
        <v>79</v>
      </c>
      <c r="K496" s="2" t="s">
        <v>45</v>
      </c>
      <c r="L496" s="2" t="n">
        <v>3</v>
      </c>
      <c r="M496" s="2" t="str">
        <f aca="false">IF(L496="","",IF(L496=0,"Low",IF(L496=1,"Medium","High")))</f>
        <v>High</v>
      </c>
    </row>
    <row r="497" customFormat="false" ht="15" hidden="false" customHeight="false" outlineLevel="0" collapsed="false">
      <c r="A497" s="2" t="s">
        <v>779</v>
      </c>
      <c r="B497" s="2" t="s">
        <v>778</v>
      </c>
      <c r="C497" s="2" t="s">
        <v>47</v>
      </c>
      <c r="D497" s="6" t="n">
        <v>46173</v>
      </c>
      <c r="E497" s="2" t="s">
        <v>40</v>
      </c>
      <c r="F497" s="2" t="s">
        <v>41</v>
      </c>
      <c r="G497" s="2" t="s">
        <v>48</v>
      </c>
      <c r="H497" s="2" t="s">
        <v>43</v>
      </c>
      <c r="I497" s="2" t="s">
        <v>86</v>
      </c>
      <c r="J497" s="2" t="s">
        <v>44</v>
      </c>
      <c r="K497" s="2" t="s">
        <v>45</v>
      </c>
      <c r="L497" s="2"/>
      <c r="M497" s="2" t="str">
        <f aca="false">IF(L497="","",IF(L497=0,"Low",IF(L497=1,"Medium","High")))</f>
        <v/>
      </c>
    </row>
    <row r="498" customFormat="false" ht="15" hidden="false" customHeight="false" outlineLevel="0" collapsed="false">
      <c r="A498" s="2" t="s">
        <v>780</v>
      </c>
      <c r="B498" s="2" t="s">
        <v>781</v>
      </c>
      <c r="C498" s="2" t="s">
        <v>39</v>
      </c>
      <c r="D498" s="6" t="n">
        <v>45808</v>
      </c>
      <c r="E498" s="2" t="s">
        <v>31</v>
      </c>
      <c r="F498" s="2" t="s">
        <v>32</v>
      </c>
      <c r="G498" s="2" t="s">
        <v>42</v>
      </c>
      <c r="H498" s="2" t="s">
        <v>34</v>
      </c>
      <c r="I498" s="2" t="s">
        <v>35</v>
      </c>
      <c r="J498" s="2" t="s">
        <v>36</v>
      </c>
      <c r="K498" s="2" t="s">
        <v>37</v>
      </c>
      <c r="L498" s="2" t="n">
        <v>1</v>
      </c>
      <c r="M498" s="2" t="str">
        <f aca="false">IF(L498="","",IF(L498=0,"Low",IF(L498=1,"Medium","High")))</f>
        <v>Medium</v>
      </c>
    </row>
    <row r="499" customFormat="false" ht="15" hidden="false" customHeight="false" outlineLevel="0" collapsed="false">
      <c r="A499" s="2" t="s">
        <v>782</v>
      </c>
      <c r="B499" s="2" t="s">
        <v>781</v>
      </c>
      <c r="C499" s="2" t="s">
        <v>47</v>
      </c>
      <c r="D499" s="6" t="n">
        <v>46173</v>
      </c>
      <c r="E499" s="2" t="s">
        <v>60</v>
      </c>
      <c r="F499" s="2" t="s">
        <v>32</v>
      </c>
      <c r="G499" s="2" t="s">
        <v>42</v>
      </c>
      <c r="H499" s="2" t="s">
        <v>43</v>
      </c>
      <c r="I499" s="2" t="s">
        <v>35</v>
      </c>
      <c r="J499" s="2" t="s">
        <v>44</v>
      </c>
      <c r="K499" s="2" t="s">
        <v>37</v>
      </c>
      <c r="L499" s="2"/>
      <c r="M499" s="2" t="str">
        <f aca="false">IF(L499="","",IF(L499=0,"Low",IF(L499=1,"Medium","High")))</f>
        <v/>
      </c>
    </row>
    <row r="500" customFormat="false" ht="15" hidden="false" customHeight="false" outlineLevel="0" collapsed="false">
      <c r="A500" s="2" t="s">
        <v>783</v>
      </c>
      <c r="B500" s="2" t="s">
        <v>784</v>
      </c>
      <c r="C500" s="2" t="s">
        <v>39</v>
      </c>
      <c r="D500" s="6" t="n">
        <v>45808</v>
      </c>
      <c r="E500" s="2" t="s">
        <v>60</v>
      </c>
      <c r="F500" s="2" t="s">
        <v>32</v>
      </c>
      <c r="G500" s="2" t="s">
        <v>33</v>
      </c>
      <c r="H500" s="2" t="s">
        <v>34</v>
      </c>
      <c r="I500" s="2" t="s">
        <v>53</v>
      </c>
      <c r="J500" s="2" t="s">
        <v>44</v>
      </c>
      <c r="K500" s="2" t="s">
        <v>57</v>
      </c>
      <c r="L500" s="2" t="n">
        <v>1</v>
      </c>
      <c r="M500" s="2" t="str">
        <f aca="false">IF(L500="","",IF(L500=0,"Low",IF(L500=1,"Medium","High")))</f>
        <v>Medium</v>
      </c>
    </row>
    <row r="501" customFormat="false" ht="15" hidden="false" customHeight="false" outlineLevel="0" collapsed="false">
      <c r="A501" s="2" t="s">
        <v>785</v>
      </c>
      <c r="B501" s="2" t="s">
        <v>784</v>
      </c>
      <c r="C501" s="2" t="s">
        <v>47</v>
      </c>
      <c r="D501" s="6" t="n">
        <v>46173</v>
      </c>
      <c r="E501" s="2" t="s">
        <v>60</v>
      </c>
      <c r="F501" s="2" t="s">
        <v>41</v>
      </c>
      <c r="G501" s="2" t="s">
        <v>42</v>
      </c>
      <c r="H501" s="2" t="s">
        <v>43</v>
      </c>
      <c r="I501" s="2" t="s">
        <v>53</v>
      </c>
      <c r="J501" s="2" t="s">
        <v>44</v>
      </c>
      <c r="K501" s="2" t="s">
        <v>57</v>
      </c>
      <c r="L501" s="2"/>
      <c r="M501" s="2" t="str">
        <f aca="false">IF(L501="","",IF(L501=0,"Low",IF(L501=1,"Medium","High")))</f>
        <v/>
      </c>
    </row>
    <row r="502" customFormat="false" ht="15" hidden="false" customHeight="false" outlineLevel="0" collapsed="false">
      <c r="A502" s="2" t="s">
        <v>786</v>
      </c>
      <c r="B502" s="2" t="s">
        <v>787</v>
      </c>
      <c r="C502" s="2" t="s">
        <v>39</v>
      </c>
      <c r="D502" s="6" t="n">
        <v>45808</v>
      </c>
      <c r="E502" s="2" t="s">
        <v>64</v>
      </c>
      <c r="F502" s="2" t="s">
        <v>65</v>
      </c>
      <c r="G502" s="2" t="s">
        <v>65</v>
      </c>
      <c r="H502" s="2" t="s">
        <v>34</v>
      </c>
      <c r="I502" s="2" t="s">
        <v>35</v>
      </c>
      <c r="J502" s="2" t="s">
        <v>36</v>
      </c>
      <c r="K502" s="2" t="s">
        <v>67</v>
      </c>
      <c r="L502" s="2" t="n">
        <v>0</v>
      </c>
      <c r="M502" s="2" t="str">
        <f aca="false">IF(L502="","",IF(L502=0,"Low",IF(L502=1,"Medium","High")))</f>
        <v>Low</v>
      </c>
    </row>
    <row r="503" customFormat="false" ht="15" hidden="false" customHeight="false" outlineLevel="0" collapsed="false">
      <c r="A503" s="2" t="s">
        <v>788</v>
      </c>
      <c r="B503" s="2" t="s">
        <v>787</v>
      </c>
      <c r="C503" s="2" t="s">
        <v>47</v>
      </c>
      <c r="D503" s="6" t="n">
        <v>46173</v>
      </c>
      <c r="E503" s="2" t="s">
        <v>64</v>
      </c>
      <c r="F503" s="2" t="s">
        <v>65</v>
      </c>
      <c r="G503" s="2" t="s">
        <v>65</v>
      </c>
      <c r="H503" s="2" t="s">
        <v>43</v>
      </c>
      <c r="I503" s="2" t="s">
        <v>35</v>
      </c>
      <c r="J503" s="2" t="s">
        <v>36</v>
      </c>
      <c r="K503" s="2" t="s">
        <v>67</v>
      </c>
      <c r="L503" s="2"/>
      <c r="M503" s="2" t="str">
        <f aca="false">IF(L503="","",IF(L503=0,"Low",IF(L503=1,"Medium","High")))</f>
        <v/>
      </c>
    </row>
    <row r="504" customFormat="false" ht="15" hidden="false" customHeight="false" outlineLevel="0" collapsed="false">
      <c r="A504" s="2" t="s">
        <v>789</v>
      </c>
      <c r="B504" s="2" t="s">
        <v>790</v>
      </c>
      <c r="C504" s="2" t="s">
        <v>39</v>
      </c>
      <c r="D504" s="6" t="n">
        <v>45808</v>
      </c>
      <c r="E504" s="2" t="s">
        <v>64</v>
      </c>
      <c r="F504" s="2" t="s">
        <v>65</v>
      </c>
      <c r="G504" s="2" t="s">
        <v>65</v>
      </c>
      <c r="H504" s="2" t="s">
        <v>34</v>
      </c>
      <c r="I504" s="2" t="s">
        <v>86</v>
      </c>
      <c r="J504" s="2" t="s">
        <v>36</v>
      </c>
      <c r="K504" s="2" t="s">
        <v>67</v>
      </c>
      <c r="L504" s="2" t="n">
        <v>3</v>
      </c>
      <c r="M504" s="2" t="str">
        <f aca="false">IF(L504="","",IF(L504=0,"Low",IF(L504=1,"Medium","High")))</f>
        <v>High</v>
      </c>
    </row>
    <row r="505" customFormat="false" ht="15" hidden="false" customHeight="false" outlineLevel="0" collapsed="false">
      <c r="A505" s="2" t="s">
        <v>791</v>
      </c>
      <c r="B505" s="2" t="s">
        <v>790</v>
      </c>
      <c r="C505" s="2" t="s">
        <v>47</v>
      </c>
      <c r="D505" s="6" t="n">
        <v>46173</v>
      </c>
      <c r="E505" s="2" t="s">
        <v>60</v>
      </c>
      <c r="F505" s="2" t="s">
        <v>32</v>
      </c>
      <c r="G505" s="2" t="s">
        <v>48</v>
      </c>
      <c r="H505" s="2" t="s">
        <v>43</v>
      </c>
      <c r="I505" s="2" t="s">
        <v>86</v>
      </c>
      <c r="J505" s="2" t="s">
        <v>44</v>
      </c>
      <c r="K505" s="2" t="s">
        <v>45</v>
      </c>
      <c r="L505" s="2"/>
      <c r="M505" s="2" t="str">
        <f aca="false">IF(L505="","",IF(L505=0,"Low",IF(L505=1,"Medium","High")))</f>
        <v/>
      </c>
    </row>
    <row r="506" customFormat="false" ht="15" hidden="false" customHeight="false" outlineLevel="0" collapsed="false">
      <c r="A506" s="2" t="s">
        <v>792</v>
      </c>
      <c r="B506" s="2" t="s">
        <v>793</v>
      </c>
      <c r="C506" s="2" t="s">
        <v>39</v>
      </c>
      <c r="D506" s="6" t="n">
        <v>45808</v>
      </c>
      <c r="E506" s="2" t="s">
        <v>64</v>
      </c>
      <c r="F506" s="2" t="s">
        <v>65</v>
      </c>
      <c r="G506" s="2" t="s">
        <v>65</v>
      </c>
      <c r="H506" s="2" t="s">
        <v>34</v>
      </c>
      <c r="I506" s="2" t="s">
        <v>66</v>
      </c>
      <c r="J506" s="2" t="s">
        <v>36</v>
      </c>
      <c r="K506" s="2" t="s">
        <v>67</v>
      </c>
      <c r="L506" s="2" t="n">
        <v>0</v>
      </c>
      <c r="M506" s="2" t="str">
        <f aca="false">IF(L506="","",IF(L506=0,"Low",IF(L506=1,"Medium","High")))</f>
        <v>Low</v>
      </c>
    </row>
    <row r="507" customFormat="false" ht="15" hidden="false" customHeight="false" outlineLevel="0" collapsed="false">
      <c r="A507" s="2" t="s">
        <v>794</v>
      </c>
      <c r="B507" s="2" t="s">
        <v>793</v>
      </c>
      <c r="C507" s="2" t="s">
        <v>47</v>
      </c>
      <c r="D507" s="6" t="n">
        <v>46173</v>
      </c>
      <c r="E507" s="2" t="s">
        <v>64</v>
      </c>
      <c r="F507" s="2" t="s">
        <v>65</v>
      </c>
      <c r="G507" s="2" t="s">
        <v>65</v>
      </c>
      <c r="H507" s="2" t="s">
        <v>43</v>
      </c>
      <c r="I507" s="2" t="s">
        <v>66</v>
      </c>
      <c r="J507" s="2" t="s">
        <v>36</v>
      </c>
      <c r="K507" s="2" t="s">
        <v>67</v>
      </c>
      <c r="L507" s="2"/>
      <c r="M507" s="2" t="str">
        <f aca="false">IF(L507="","",IF(L507=0,"Low",IF(L507=1,"Medium","High")))</f>
        <v/>
      </c>
    </row>
    <row r="508" customFormat="false" ht="15" hidden="false" customHeight="false" outlineLevel="0" collapsed="false">
      <c r="A508" s="2" t="s">
        <v>795</v>
      </c>
      <c r="B508" s="2" t="s">
        <v>796</v>
      </c>
      <c r="C508" s="2" t="s">
        <v>39</v>
      </c>
      <c r="D508" s="6" t="n">
        <v>45808</v>
      </c>
      <c r="E508" s="2" t="s">
        <v>64</v>
      </c>
      <c r="F508" s="2" t="s">
        <v>65</v>
      </c>
      <c r="G508" s="2" t="s">
        <v>65</v>
      </c>
      <c r="H508" s="2" t="s">
        <v>34</v>
      </c>
      <c r="I508" s="2" t="s">
        <v>66</v>
      </c>
      <c r="J508" s="2" t="s">
        <v>36</v>
      </c>
      <c r="K508" s="2" t="s">
        <v>67</v>
      </c>
      <c r="L508" s="2" t="n">
        <v>0</v>
      </c>
      <c r="M508" s="2" t="str">
        <f aca="false">IF(L508="","",IF(L508=0,"Low",IF(L508=1,"Medium","High")))</f>
        <v>Low</v>
      </c>
    </row>
    <row r="509" customFormat="false" ht="15" hidden="false" customHeight="false" outlineLevel="0" collapsed="false">
      <c r="A509" s="2" t="s">
        <v>797</v>
      </c>
      <c r="B509" s="2" t="s">
        <v>796</v>
      </c>
      <c r="C509" s="2" t="s">
        <v>47</v>
      </c>
      <c r="D509" s="6" t="n">
        <v>46173</v>
      </c>
      <c r="E509" s="2" t="s">
        <v>64</v>
      </c>
      <c r="F509" s="2" t="s">
        <v>65</v>
      </c>
      <c r="G509" s="2" t="s">
        <v>65</v>
      </c>
      <c r="H509" s="2" t="s">
        <v>43</v>
      </c>
      <c r="I509" s="2" t="s">
        <v>66</v>
      </c>
      <c r="J509" s="2" t="s">
        <v>36</v>
      </c>
      <c r="K509" s="2" t="s">
        <v>67</v>
      </c>
      <c r="L509" s="2"/>
      <c r="M509" s="2" t="str">
        <f aca="false">IF(L509="","",IF(L509=0,"Low",IF(L509=1,"Medium","High")))</f>
        <v/>
      </c>
    </row>
    <row r="510" customFormat="false" ht="15" hidden="false" customHeight="false" outlineLevel="0" collapsed="false">
      <c r="A510" s="2" t="s">
        <v>798</v>
      </c>
      <c r="B510" s="2" t="s">
        <v>799</v>
      </c>
      <c r="C510" s="2" t="s">
        <v>39</v>
      </c>
      <c r="D510" s="6" t="n">
        <v>45808</v>
      </c>
      <c r="E510" s="2" t="s">
        <v>40</v>
      </c>
      <c r="F510" s="2" t="s">
        <v>41</v>
      </c>
      <c r="G510" s="2" t="s">
        <v>42</v>
      </c>
      <c r="H510" s="2" t="s">
        <v>34</v>
      </c>
      <c r="I510" s="2" t="s">
        <v>66</v>
      </c>
      <c r="J510" s="2" t="s">
        <v>79</v>
      </c>
      <c r="K510" s="2" t="s">
        <v>45</v>
      </c>
      <c r="L510" s="2" t="n">
        <v>0</v>
      </c>
      <c r="M510" s="2" t="str">
        <f aca="false">IF(L510="","",IF(L510=0,"Low",IF(L510=1,"Medium","High")))</f>
        <v>Low</v>
      </c>
    </row>
    <row r="511" customFormat="false" ht="15" hidden="false" customHeight="false" outlineLevel="0" collapsed="false">
      <c r="A511" s="2" t="s">
        <v>800</v>
      </c>
      <c r="B511" s="2" t="s">
        <v>799</v>
      </c>
      <c r="C511" s="2" t="s">
        <v>47</v>
      </c>
      <c r="D511" s="6" t="n">
        <v>46173</v>
      </c>
      <c r="E511" s="2" t="s">
        <v>40</v>
      </c>
      <c r="F511" s="2" t="s">
        <v>41</v>
      </c>
      <c r="G511" s="2" t="s">
        <v>33</v>
      </c>
      <c r="H511" s="2" t="s">
        <v>43</v>
      </c>
      <c r="I511" s="2" t="s">
        <v>66</v>
      </c>
      <c r="J511" s="2" t="s">
        <v>79</v>
      </c>
      <c r="K511" s="2" t="s">
        <v>45</v>
      </c>
      <c r="L511" s="2"/>
      <c r="M511" s="2" t="str">
        <f aca="false">IF(L511="","",IF(L511=0,"Low",IF(L511=1,"Medium","High")))</f>
        <v/>
      </c>
    </row>
    <row r="512" customFormat="false" ht="15" hidden="false" customHeight="false" outlineLevel="0" collapsed="false">
      <c r="A512" s="2" t="s">
        <v>801</v>
      </c>
      <c r="B512" s="2" t="s">
        <v>802</v>
      </c>
      <c r="C512" s="2" t="s">
        <v>39</v>
      </c>
      <c r="D512" s="6" t="n">
        <v>45808</v>
      </c>
      <c r="E512" s="2" t="s">
        <v>64</v>
      </c>
      <c r="F512" s="2" t="s">
        <v>65</v>
      </c>
      <c r="G512" s="2" t="s">
        <v>65</v>
      </c>
      <c r="H512" s="2" t="s">
        <v>34</v>
      </c>
      <c r="I512" s="2" t="s">
        <v>53</v>
      </c>
      <c r="J512" s="2" t="s">
        <v>36</v>
      </c>
      <c r="K512" s="2" t="s">
        <v>67</v>
      </c>
      <c r="L512" s="2" t="n">
        <v>1</v>
      </c>
      <c r="M512" s="2" t="str">
        <f aca="false">IF(L512="","",IF(L512=0,"Low",IF(L512=1,"Medium","High")))</f>
        <v>Medium</v>
      </c>
    </row>
    <row r="513" customFormat="false" ht="15" hidden="false" customHeight="false" outlineLevel="0" collapsed="false">
      <c r="A513" s="2" t="s">
        <v>803</v>
      </c>
      <c r="B513" s="2" t="s">
        <v>802</v>
      </c>
      <c r="C513" s="2" t="s">
        <v>47</v>
      </c>
      <c r="D513" s="6" t="n">
        <v>46173</v>
      </c>
      <c r="E513" s="2" t="s">
        <v>31</v>
      </c>
      <c r="F513" s="2" t="s">
        <v>32</v>
      </c>
      <c r="G513" s="2" t="s">
        <v>42</v>
      </c>
      <c r="H513" s="2" t="s">
        <v>43</v>
      </c>
      <c r="I513" s="2" t="s">
        <v>53</v>
      </c>
      <c r="J513" s="2" t="s">
        <v>36</v>
      </c>
      <c r="K513" s="2" t="s">
        <v>45</v>
      </c>
      <c r="L513" s="2"/>
      <c r="M513" s="2" t="str">
        <f aca="false">IF(L513="","",IF(L513=0,"Low",IF(L513=1,"Medium","High")))</f>
        <v/>
      </c>
    </row>
    <row r="514" customFormat="false" ht="15" hidden="false" customHeight="false" outlineLevel="0" collapsed="false">
      <c r="A514" s="2" t="s">
        <v>804</v>
      </c>
      <c r="B514" s="2" t="s">
        <v>805</v>
      </c>
      <c r="C514" s="2" t="s">
        <v>39</v>
      </c>
      <c r="D514" s="6" t="n">
        <v>45808</v>
      </c>
      <c r="E514" s="2" t="s">
        <v>60</v>
      </c>
      <c r="F514" s="2" t="s">
        <v>41</v>
      </c>
      <c r="G514" s="2" t="s">
        <v>48</v>
      </c>
      <c r="H514" s="2" t="s">
        <v>34</v>
      </c>
      <c r="I514" s="2" t="s">
        <v>66</v>
      </c>
      <c r="J514" s="2" t="s">
        <v>44</v>
      </c>
      <c r="K514" s="2" t="s">
        <v>67</v>
      </c>
      <c r="L514" s="2" t="n">
        <v>1</v>
      </c>
      <c r="M514" s="2" t="str">
        <f aca="false">IF(L514="","",IF(L514=0,"Low",IF(L514=1,"Medium","High")))</f>
        <v>Medium</v>
      </c>
    </row>
    <row r="515" customFormat="false" ht="15" hidden="false" customHeight="false" outlineLevel="0" collapsed="false">
      <c r="A515" s="2" t="s">
        <v>806</v>
      </c>
      <c r="B515" s="2" t="s">
        <v>805</v>
      </c>
      <c r="C515" s="2" t="s">
        <v>47</v>
      </c>
      <c r="D515" s="6" t="n">
        <v>46173</v>
      </c>
      <c r="E515" s="2" t="s">
        <v>40</v>
      </c>
      <c r="F515" s="2" t="s">
        <v>41</v>
      </c>
      <c r="G515" s="2" t="s">
        <v>33</v>
      </c>
      <c r="H515" s="2" t="s">
        <v>43</v>
      </c>
      <c r="I515" s="2" t="s">
        <v>66</v>
      </c>
      <c r="J515" s="2" t="s">
        <v>44</v>
      </c>
      <c r="K515" s="2" t="s">
        <v>67</v>
      </c>
      <c r="L515" s="2"/>
      <c r="M515" s="2" t="str">
        <f aca="false">IF(L515="","",IF(L515=0,"Low",IF(L515=1,"Medium","High")))</f>
        <v/>
      </c>
    </row>
    <row r="516" customFormat="false" ht="15" hidden="false" customHeight="false" outlineLevel="0" collapsed="false">
      <c r="A516" s="2" t="s">
        <v>807</v>
      </c>
      <c r="B516" s="2" t="s">
        <v>808</v>
      </c>
      <c r="C516" s="2" t="s">
        <v>39</v>
      </c>
      <c r="D516" s="6" t="n">
        <v>45808</v>
      </c>
      <c r="E516" s="2" t="s">
        <v>31</v>
      </c>
      <c r="F516" s="2" t="s">
        <v>32</v>
      </c>
      <c r="G516" s="2" t="s">
        <v>33</v>
      </c>
      <c r="H516" s="2" t="s">
        <v>34</v>
      </c>
      <c r="I516" s="2" t="s">
        <v>66</v>
      </c>
      <c r="J516" s="2" t="s">
        <v>36</v>
      </c>
      <c r="K516" s="2" t="s">
        <v>45</v>
      </c>
      <c r="L516" s="2" t="n">
        <v>3</v>
      </c>
      <c r="M516" s="2" t="str">
        <f aca="false">IF(L516="","",IF(L516=0,"Low",IF(L516=1,"Medium","High")))</f>
        <v>High</v>
      </c>
    </row>
    <row r="517" customFormat="false" ht="15" hidden="false" customHeight="false" outlineLevel="0" collapsed="false">
      <c r="A517" s="2" t="s">
        <v>809</v>
      </c>
      <c r="B517" s="2" t="s">
        <v>808</v>
      </c>
      <c r="C517" s="2" t="s">
        <v>47</v>
      </c>
      <c r="D517" s="6" t="n">
        <v>46173</v>
      </c>
      <c r="E517" s="2" t="s">
        <v>40</v>
      </c>
      <c r="F517" s="2" t="s">
        <v>41</v>
      </c>
      <c r="G517" s="2" t="s">
        <v>48</v>
      </c>
      <c r="H517" s="2" t="s">
        <v>43</v>
      </c>
      <c r="I517" s="2" t="s">
        <v>66</v>
      </c>
      <c r="J517" s="2" t="s">
        <v>44</v>
      </c>
      <c r="K517" s="2" t="s">
        <v>45</v>
      </c>
      <c r="L517" s="2"/>
      <c r="M517" s="2" t="str">
        <f aca="false">IF(L517="","",IF(L517=0,"Low",IF(L517=1,"Medium","High")))</f>
        <v/>
      </c>
    </row>
    <row r="518" customFormat="false" ht="15" hidden="false" customHeight="false" outlineLevel="0" collapsed="false">
      <c r="A518" s="2" t="s">
        <v>810</v>
      </c>
      <c r="B518" s="2" t="s">
        <v>811</v>
      </c>
      <c r="C518" s="2" t="s">
        <v>39</v>
      </c>
      <c r="D518" s="6" t="n">
        <v>45808</v>
      </c>
      <c r="E518" s="2" t="s">
        <v>31</v>
      </c>
      <c r="F518" s="2" t="s">
        <v>32</v>
      </c>
      <c r="G518" s="2" t="s">
        <v>48</v>
      </c>
      <c r="H518" s="2" t="s">
        <v>34</v>
      </c>
      <c r="I518" s="2" t="s">
        <v>35</v>
      </c>
      <c r="J518" s="2" t="s">
        <v>36</v>
      </c>
      <c r="K518" s="2" t="s">
        <v>67</v>
      </c>
      <c r="L518" s="2" t="n">
        <v>1</v>
      </c>
      <c r="M518" s="2" t="str">
        <f aca="false">IF(L518="","",IF(L518=0,"Low",IF(L518=1,"Medium","High")))</f>
        <v>Medium</v>
      </c>
    </row>
    <row r="519" customFormat="false" ht="15" hidden="false" customHeight="false" outlineLevel="0" collapsed="false">
      <c r="A519" s="2" t="s">
        <v>812</v>
      </c>
      <c r="B519" s="2" t="s">
        <v>811</v>
      </c>
      <c r="C519" s="2" t="s">
        <v>47</v>
      </c>
      <c r="D519" s="6" t="n">
        <v>46173</v>
      </c>
      <c r="E519" s="2" t="s">
        <v>60</v>
      </c>
      <c r="F519" s="2" t="s">
        <v>32</v>
      </c>
      <c r="G519" s="2" t="s">
        <v>48</v>
      </c>
      <c r="H519" s="2" t="s">
        <v>43</v>
      </c>
      <c r="I519" s="2" t="s">
        <v>35</v>
      </c>
      <c r="J519" s="2" t="s">
        <v>44</v>
      </c>
      <c r="K519" s="2" t="s">
        <v>45</v>
      </c>
      <c r="L519" s="2"/>
      <c r="M519" s="2" t="str">
        <f aca="false">IF(L519="","",IF(L519=0,"Low",IF(L519=1,"Medium","High")))</f>
        <v/>
      </c>
    </row>
    <row r="520" customFormat="false" ht="15" hidden="false" customHeight="false" outlineLevel="0" collapsed="false">
      <c r="A520" s="2" t="s">
        <v>813</v>
      </c>
      <c r="B520" s="2" t="s">
        <v>814</v>
      </c>
      <c r="C520" s="2" t="s">
        <v>39</v>
      </c>
      <c r="D520" s="6" t="n">
        <v>45808</v>
      </c>
      <c r="E520" s="2" t="s">
        <v>64</v>
      </c>
      <c r="F520" s="2" t="s">
        <v>65</v>
      </c>
      <c r="G520" s="2" t="s">
        <v>65</v>
      </c>
      <c r="H520" s="2" t="s">
        <v>34</v>
      </c>
      <c r="I520" s="2" t="s">
        <v>35</v>
      </c>
      <c r="J520" s="2" t="s">
        <v>36</v>
      </c>
      <c r="K520" s="2" t="s">
        <v>67</v>
      </c>
      <c r="L520" s="2" t="n">
        <v>0</v>
      </c>
      <c r="M520" s="2" t="str">
        <f aca="false">IF(L520="","",IF(L520=0,"Low",IF(L520=1,"Medium","High")))</f>
        <v>Low</v>
      </c>
    </row>
    <row r="521" customFormat="false" ht="15" hidden="false" customHeight="false" outlineLevel="0" collapsed="false">
      <c r="A521" s="2" t="s">
        <v>815</v>
      </c>
      <c r="B521" s="2" t="s">
        <v>814</v>
      </c>
      <c r="C521" s="2" t="s">
        <v>47</v>
      </c>
      <c r="D521" s="6" t="n">
        <v>46173</v>
      </c>
      <c r="E521" s="2" t="s">
        <v>64</v>
      </c>
      <c r="F521" s="2" t="s">
        <v>65</v>
      </c>
      <c r="G521" s="2" t="s">
        <v>65</v>
      </c>
      <c r="H521" s="2" t="s">
        <v>43</v>
      </c>
      <c r="I521" s="2" t="s">
        <v>35</v>
      </c>
      <c r="J521" s="2" t="s">
        <v>36</v>
      </c>
      <c r="K521" s="2" t="s">
        <v>67</v>
      </c>
      <c r="L521" s="2"/>
      <c r="M521" s="2" t="str">
        <f aca="false">IF(L521="","",IF(L521=0,"Low",IF(L521=1,"Medium","High")))</f>
        <v/>
      </c>
    </row>
    <row r="522" customFormat="false" ht="15" hidden="false" customHeight="false" outlineLevel="0" collapsed="false">
      <c r="A522" s="2" t="s">
        <v>816</v>
      </c>
      <c r="B522" s="2" t="s">
        <v>817</v>
      </c>
      <c r="C522" s="2" t="s">
        <v>39</v>
      </c>
      <c r="D522" s="6" t="n">
        <v>45808</v>
      </c>
      <c r="E522" s="2" t="s">
        <v>64</v>
      </c>
      <c r="F522" s="2" t="s">
        <v>65</v>
      </c>
      <c r="G522" s="2" t="s">
        <v>65</v>
      </c>
      <c r="H522" s="2" t="s">
        <v>34</v>
      </c>
      <c r="I522" s="2" t="s">
        <v>35</v>
      </c>
      <c r="J522" s="2" t="s">
        <v>36</v>
      </c>
      <c r="K522" s="2" t="s">
        <v>67</v>
      </c>
      <c r="L522" s="2" t="n">
        <v>1</v>
      </c>
      <c r="M522" s="2" t="str">
        <f aca="false">IF(L522="","",IF(L522=0,"Low",IF(L522=1,"Medium","High")))</f>
        <v>Medium</v>
      </c>
    </row>
    <row r="523" customFormat="false" ht="15" hidden="false" customHeight="false" outlineLevel="0" collapsed="false">
      <c r="A523" s="2" t="s">
        <v>818</v>
      </c>
      <c r="B523" s="2" t="s">
        <v>817</v>
      </c>
      <c r="C523" s="2" t="s">
        <v>47</v>
      </c>
      <c r="D523" s="6" t="n">
        <v>46173</v>
      </c>
      <c r="E523" s="2" t="s">
        <v>31</v>
      </c>
      <c r="F523" s="2" t="s">
        <v>32</v>
      </c>
      <c r="G523" s="2" t="s">
        <v>33</v>
      </c>
      <c r="H523" s="2" t="s">
        <v>43</v>
      </c>
      <c r="I523" s="2" t="s">
        <v>35</v>
      </c>
      <c r="J523" s="2" t="s">
        <v>36</v>
      </c>
      <c r="K523" s="2" t="s">
        <v>45</v>
      </c>
      <c r="L523" s="2"/>
      <c r="M523" s="2" t="str">
        <f aca="false">IF(L523="","",IF(L523=0,"Low",IF(L523=1,"Medium","High")))</f>
        <v/>
      </c>
    </row>
    <row r="524" customFormat="false" ht="15" hidden="false" customHeight="false" outlineLevel="0" collapsed="false">
      <c r="A524" s="2" t="s">
        <v>819</v>
      </c>
      <c r="B524" s="2" t="s">
        <v>820</v>
      </c>
      <c r="C524" s="2" t="s">
        <v>39</v>
      </c>
      <c r="D524" s="6" t="n">
        <v>45808</v>
      </c>
      <c r="E524" s="2" t="s">
        <v>64</v>
      </c>
      <c r="F524" s="2" t="s">
        <v>65</v>
      </c>
      <c r="G524" s="2" t="s">
        <v>65</v>
      </c>
      <c r="H524" s="2" t="s">
        <v>34</v>
      </c>
      <c r="I524" s="2" t="s">
        <v>35</v>
      </c>
      <c r="J524" s="2" t="s">
        <v>36</v>
      </c>
      <c r="K524" s="2" t="s">
        <v>67</v>
      </c>
      <c r="L524" s="2" t="n">
        <v>0</v>
      </c>
      <c r="M524" s="2" t="str">
        <f aca="false">IF(L524="","",IF(L524=0,"Low",IF(L524=1,"Medium","High")))</f>
        <v>Low</v>
      </c>
    </row>
    <row r="525" customFormat="false" ht="15" hidden="false" customHeight="false" outlineLevel="0" collapsed="false">
      <c r="A525" s="2" t="s">
        <v>821</v>
      </c>
      <c r="B525" s="2" t="s">
        <v>820</v>
      </c>
      <c r="C525" s="2" t="s">
        <v>47</v>
      </c>
      <c r="D525" s="6" t="n">
        <v>46173</v>
      </c>
      <c r="E525" s="2" t="s">
        <v>64</v>
      </c>
      <c r="F525" s="2" t="s">
        <v>65</v>
      </c>
      <c r="G525" s="2" t="s">
        <v>65</v>
      </c>
      <c r="H525" s="2" t="s">
        <v>43</v>
      </c>
      <c r="I525" s="2" t="s">
        <v>35</v>
      </c>
      <c r="J525" s="2" t="s">
        <v>36</v>
      </c>
      <c r="K525" s="2" t="s">
        <v>67</v>
      </c>
      <c r="L525" s="2"/>
      <c r="M525" s="2" t="str">
        <f aca="false">IF(L525="","",IF(L525=0,"Low",IF(L525=1,"Medium","High")))</f>
        <v/>
      </c>
    </row>
    <row r="526" customFormat="false" ht="15" hidden="false" customHeight="false" outlineLevel="0" collapsed="false">
      <c r="A526" s="2" t="s">
        <v>822</v>
      </c>
      <c r="B526" s="2" t="s">
        <v>823</v>
      </c>
      <c r="C526" s="2" t="s">
        <v>39</v>
      </c>
      <c r="D526" s="6" t="n">
        <v>45808</v>
      </c>
      <c r="E526" s="2" t="s">
        <v>64</v>
      </c>
      <c r="F526" s="2" t="s">
        <v>65</v>
      </c>
      <c r="G526" s="2" t="s">
        <v>65</v>
      </c>
      <c r="H526" s="2" t="s">
        <v>34</v>
      </c>
      <c r="I526" s="2" t="s">
        <v>86</v>
      </c>
      <c r="J526" s="2" t="s">
        <v>36</v>
      </c>
      <c r="K526" s="2" t="s">
        <v>67</v>
      </c>
      <c r="L526" s="2" t="n">
        <v>1</v>
      </c>
      <c r="M526" s="2" t="str">
        <f aca="false">IF(L526="","",IF(L526=0,"Low",IF(L526=1,"Medium","High")))</f>
        <v>Medium</v>
      </c>
    </row>
    <row r="527" customFormat="false" ht="15" hidden="false" customHeight="false" outlineLevel="0" collapsed="false">
      <c r="A527" s="2" t="s">
        <v>824</v>
      </c>
      <c r="B527" s="2" t="s">
        <v>823</v>
      </c>
      <c r="C527" s="2" t="s">
        <v>47</v>
      </c>
      <c r="D527" s="6" t="n">
        <v>46173</v>
      </c>
      <c r="E527" s="2" t="s">
        <v>31</v>
      </c>
      <c r="F527" s="2" t="s">
        <v>32</v>
      </c>
      <c r="G527" s="2" t="s">
        <v>42</v>
      </c>
      <c r="H527" s="2" t="s">
        <v>43</v>
      </c>
      <c r="I527" s="2" t="s">
        <v>86</v>
      </c>
      <c r="J527" s="2" t="s">
        <v>36</v>
      </c>
      <c r="K527" s="2" t="s">
        <v>45</v>
      </c>
      <c r="L527" s="2"/>
      <c r="M527" s="2" t="str">
        <f aca="false">IF(L527="","",IF(L527=0,"Low",IF(L527=1,"Medium","High")))</f>
        <v/>
      </c>
    </row>
    <row r="528" customFormat="false" ht="15" hidden="false" customHeight="false" outlineLevel="0" collapsed="false">
      <c r="A528" s="2" t="s">
        <v>825</v>
      </c>
      <c r="B528" s="2" t="s">
        <v>826</v>
      </c>
      <c r="C528" s="2" t="s">
        <v>39</v>
      </c>
      <c r="D528" s="6" t="n">
        <v>45808</v>
      </c>
      <c r="E528" s="2" t="s">
        <v>31</v>
      </c>
      <c r="F528" s="2" t="s">
        <v>32</v>
      </c>
      <c r="G528" s="2" t="s">
        <v>33</v>
      </c>
      <c r="H528" s="2" t="s">
        <v>34</v>
      </c>
      <c r="I528" s="2" t="s">
        <v>35</v>
      </c>
      <c r="J528" s="2" t="s">
        <v>36</v>
      </c>
      <c r="K528" s="2" t="s">
        <v>67</v>
      </c>
      <c r="L528" s="2" t="n">
        <v>1</v>
      </c>
      <c r="M528" s="2" t="str">
        <f aca="false">IF(L528="","",IF(L528=0,"Low",IF(L528=1,"Medium","High")))</f>
        <v>Medium</v>
      </c>
    </row>
    <row r="529" customFormat="false" ht="15" hidden="false" customHeight="false" outlineLevel="0" collapsed="false">
      <c r="A529" s="2" t="s">
        <v>827</v>
      </c>
      <c r="B529" s="2" t="s">
        <v>826</v>
      </c>
      <c r="C529" s="2" t="s">
        <v>47</v>
      </c>
      <c r="D529" s="6" t="n">
        <v>46173</v>
      </c>
      <c r="E529" s="2" t="s">
        <v>60</v>
      </c>
      <c r="F529" s="2" t="s">
        <v>32</v>
      </c>
      <c r="G529" s="2" t="s">
        <v>110</v>
      </c>
      <c r="H529" s="2" t="s">
        <v>43</v>
      </c>
      <c r="I529" s="2" t="s">
        <v>35</v>
      </c>
      <c r="J529" s="2" t="s">
        <v>44</v>
      </c>
      <c r="K529" s="2" t="s">
        <v>37</v>
      </c>
      <c r="L529" s="2"/>
      <c r="M529" s="2" t="str">
        <f aca="false">IF(L529="","",IF(L529=0,"Low",IF(L529=1,"Medium","High")))</f>
        <v/>
      </c>
    </row>
    <row r="530" customFormat="false" ht="15" hidden="false" customHeight="false" outlineLevel="0" collapsed="false">
      <c r="A530" s="2" t="s">
        <v>828</v>
      </c>
      <c r="B530" s="2" t="s">
        <v>829</v>
      </c>
      <c r="C530" s="2" t="s">
        <v>39</v>
      </c>
      <c r="D530" s="6" t="n">
        <v>45808</v>
      </c>
      <c r="E530" s="2" t="s">
        <v>60</v>
      </c>
      <c r="F530" s="2" t="s">
        <v>41</v>
      </c>
      <c r="G530" s="2" t="s">
        <v>110</v>
      </c>
      <c r="H530" s="2" t="s">
        <v>34</v>
      </c>
      <c r="I530" s="2" t="s">
        <v>66</v>
      </c>
      <c r="J530" s="2" t="s">
        <v>44</v>
      </c>
      <c r="K530" s="2" t="s">
        <v>45</v>
      </c>
      <c r="L530" s="2" t="n">
        <v>4</v>
      </c>
      <c r="M530" s="2" t="str">
        <f aca="false">IF(L530="","",IF(L530=0,"Low",IF(L530=1,"Medium","High")))</f>
        <v>High</v>
      </c>
    </row>
    <row r="531" customFormat="false" ht="15" hidden="false" customHeight="false" outlineLevel="0" collapsed="false">
      <c r="A531" s="2" t="s">
        <v>830</v>
      </c>
      <c r="B531" s="2" t="s">
        <v>829</v>
      </c>
      <c r="C531" s="2" t="s">
        <v>47</v>
      </c>
      <c r="D531" s="6" t="n">
        <v>46173</v>
      </c>
      <c r="E531" s="2" t="s">
        <v>40</v>
      </c>
      <c r="F531" s="2" t="s">
        <v>41</v>
      </c>
      <c r="G531" s="2" t="s">
        <v>42</v>
      </c>
      <c r="H531" s="2" t="s">
        <v>43</v>
      </c>
      <c r="I531" s="2" t="s">
        <v>66</v>
      </c>
      <c r="J531" s="2" t="s">
        <v>79</v>
      </c>
      <c r="K531" s="2" t="s">
        <v>45</v>
      </c>
      <c r="L531" s="2"/>
      <c r="M531" s="2" t="str">
        <f aca="false">IF(L531="","",IF(L531=0,"Low",IF(L531=1,"Medium","High")))</f>
        <v/>
      </c>
    </row>
    <row r="532" customFormat="false" ht="15" hidden="false" customHeight="false" outlineLevel="0" collapsed="false">
      <c r="A532" s="2" t="s">
        <v>831</v>
      </c>
      <c r="B532" s="2" t="s">
        <v>832</v>
      </c>
      <c r="C532" s="2" t="s">
        <v>39</v>
      </c>
      <c r="D532" s="6" t="n">
        <v>45808</v>
      </c>
      <c r="E532" s="2" t="s">
        <v>60</v>
      </c>
      <c r="F532" s="2" t="s">
        <v>56</v>
      </c>
      <c r="G532" s="2" t="s">
        <v>42</v>
      </c>
      <c r="H532" s="2" t="s">
        <v>34</v>
      </c>
      <c r="I532" s="2" t="s">
        <v>86</v>
      </c>
      <c r="J532" s="2" t="s">
        <v>44</v>
      </c>
      <c r="K532" s="2" t="s">
        <v>37</v>
      </c>
      <c r="L532" s="2" t="n">
        <v>3</v>
      </c>
      <c r="M532" s="2" t="str">
        <f aca="false">IF(L532="","",IF(L532=0,"Low",IF(L532=1,"Medium","High")))</f>
        <v>High</v>
      </c>
    </row>
    <row r="533" customFormat="false" ht="15" hidden="false" customHeight="false" outlineLevel="0" collapsed="false">
      <c r="A533" s="2" t="s">
        <v>833</v>
      </c>
      <c r="B533" s="2" t="s">
        <v>832</v>
      </c>
      <c r="C533" s="2" t="s">
        <v>47</v>
      </c>
      <c r="D533" s="6" t="n">
        <v>46173</v>
      </c>
      <c r="E533" s="2" t="s">
        <v>40</v>
      </c>
      <c r="F533" s="2" t="s">
        <v>56</v>
      </c>
      <c r="G533" s="2" t="s">
        <v>48</v>
      </c>
      <c r="H533" s="2" t="s">
        <v>43</v>
      </c>
      <c r="I533" s="2" t="s">
        <v>86</v>
      </c>
      <c r="J533" s="2" t="s">
        <v>44</v>
      </c>
      <c r="K533" s="2" t="s">
        <v>37</v>
      </c>
      <c r="L533" s="2"/>
      <c r="M533" s="2" t="str">
        <f aca="false">IF(L533="","",IF(L533=0,"Low",IF(L533=1,"Medium","High")))</f>
        <v/>
      </c>
    </row>
    <row r="534" customFormat="false" ht="15" hidden="false" customHeight="false" outlineLevel="0" collapsed="false">
      <c r="A534" s="2" t="s">
        <v>834</v>
      </c>
      <c r="B534" s="2" t="s">
        <v>835</v>
      </c>
      <c r="C534" s="2" t="s">
        <v>39</v>
      </c>
      <c r="D534" s="6" t="n">
        <v>45808</v>
      </c>
      <c r="E534" s="2" t="s">
        <v>31</v>
      </c>
      <c r="F534" s="2" t="s">
        <v>32</v>
      </c>
      <c r="G534" s="2" t="s">
        <v>33</v>
      </c>
      <c r="H534" s="2" t="s">
        <v>34</v>
      </c>
      <c r="I534" s="2" t="s">
        <v>66</v>
      </c>
      <c r="J534" s="2" t="s">
        <v>36</v>
      </c>
      <c r="K534" s="2" t="s">
        <v>45</v>
      </c>
      <c r="L534" s="2" t="n">
        <v>2</v>
      </c>
      <c r="M534" s="2" t="str">
        <f aca="false">IF(L534="","",IF(L534=0,"Low",IF(L534=1,"Medium","High")))</f>
        <v>High</v>
      </c>
    </row>
    <row r="535" customFormat="false" ht="15" hidden="false" customHeight="false" outlineLevel="0" collapsed="false">
      <c r="A535" s="2" t="s">
        <v>836</v>
      </c>
      <c r="B535" s="2" t="s">
        <v>835</v>
      </c>
      <c r="C535" s="2" t="s">
        <v>47</v>
      </c>
      <c r="D535" s="6" t="n">
        <v>46173</v>
      </c>
      <c r="E535" s="2" t="s">
        <v>60</v>
      </c>
      <c r="F535" s="2" t="s">
        <v>41</v>
      </c>
      <c r="G535" s="2" t="s">
        <v>48</v>
      </c>
      <c r="H535" s="2" t="s">
        <v>43</v>
      </c>
      <c r="I535" s="2" t="s">
        <v>66</v>
      </c>
      <c r="J535" s="2" t="s">
        <v>44</v>
      </c>
      <c r="K535" s="2" t="s">
        <v>67</v>
      </c>
      <c r="L535" s="2"/>
      <c r="M535" s="2" t="str">
        <f aca="false">IF(L535="","",IF(L535=0,"Low",IF(L535=1,"Medium","High")))</f>
        <v/>
      </c>
    </row>
    <row r="536" customFormat="false" ht="15" hidden="false" customHeight="false" outlineLevel="0" collapsed="false">
      <c r="A536" s="2" t="s">
        <v>837</v>
      </c>
      <c r="B536" s="2" t="s">
        <v>838</v>
      </c>
      <c r="C536" s="2" t="s">
        <v>39</v>
      </c>
      <c r="D536" s="6" t="n">
        <v>45808</v>
      </c>
      <c r="E536" s="2" t="s">
        <v>31</v>
      </c>
      <c r="F536" s="2" t="s">
        <v>32</v>
      </c>
      <c r="G536" s="2" t="s">
        <v>33</v>
      </c>
      <c r="H536" s="2" t="s">
        <v>34</v>
      </c>
      <c r="I536" s="2" t="s">
        <v>53</v>
      </c>
      <c r="J536" s="2" t="s">
        <v>36</v>
      </c>
      <c r="K536" s="2" t="s">
        <v>45</v>
      </c>
      <c r="L536" s="2" t="n">
        <v>3</v>
      </c>
      <c r="M536" s="2" t="str">
        <f aca="false">IF(L536="","",IF(L536=0,"Low",IF(L536=1,"Medium","High")))</f>
        <v>High</v>
      </c>
    </row>
    <row r="537" customFormat="false" ht="15" hidden="false" customHeight="false" outlineLevel="0" collapsed="false">
      <c r="A537" s="2" t="s">
        <v>839</v>
      </c>
      <c r="B537" s="2" t="s">
        <v>838</v>
      </c>
      <c r="C537" s="2" t="s">
        <v>47</v>
      </c>
      <c r="D537" s="6" t="n">
        <v>46173</v>
      </c>
      <c r="E537" s="2" t="s">
        <v>40</v>
      </c>
      <c r="F537" s="2" t="s">
        <v>32</v>
      </c>
      <c r="G537" s="2" t="s">
        <v>42</v>
      </c>
      <c r="H537" s="2" t="s">
        <v>43</v>
      </c>
      <c r="I537" s="2" t="s">
        <v>53</v>
      </c>
      <c r="J537" s="2" t="s">
        <v>44</v>
      </c>
      <c r="K537" s="2" t="s">
        <v>67</v>
      </c>
      <c r="L537" s="2"/>
      <c r="M537" s="2" t="str">
        <f aca="false">IF(L537="","",IF(L537=0,"Low",IF(L537=1,"Medium","High")))</f>
        <v/>
      </c>
    </row>
    <row r="538" customFormat="false" ht="15" hidden="false" customHeight="false" outlineLevel="0" collapsed="false">
      <c r="A538" s="2" t="s">
        <v>840</v>
      </c>
      <c r="B538" s="2" t="s">
        <v>841</v>
      </c>
      <c r="C538" s="2" t="s">
        <v>39</v>
      </c>
      <c r="D538" s="6" t="n">
        <v>45808</v>
      </c>
      <c r="E538" s="2" t="s">
        <v>60</v>
      </c>
      <c r="F538" s="2" t="s">
        <v>32</v>
      </c>
      <c r="G538" s="2" t="s">
        <v>33</v>
      </c>
      <c r="H538" s="2" t="s">
        <v>34</v>
      </c>
      <c r="I538" s="2" t="s">
        <v>86</v>
      </c>
      <c r="J538" s="2" t="s">
        <v>79</v>
      </c>
      <c r="K538" s="2" t="s">
        <v>37</v>
      </c>
      <c r="L538" s="2" t="n">
        <v>2</v>
      </c>
      <c r="M538" s="2" t="str">
        <f aca="false">IF(L538="","",IF(L538=0,"Low",IF(L538=1,"Medium","High")))</f>
        <v>High</v>
      </c>
    </row>
    <row r="539" customFormat="false" ht="15" hidden="false" customHeight="false" outlineLevel="0" collapsed="false">
      <c r="A539" s="2" t="s">
        <v>842</v>
      </c>
      <c r="B539" s="2" t="s">
        <v>841</v>
      </c>
      <c r="C539" s="2" t="s">
        <v>47</v>
      </c>
      <c r="D539" s="6" t="n">
        <v>46173</v>
      </c>
      <c r="E539" s="2" t="s">
        <v>40</v>
      </c>
      <c r="F539" s="2" t="s">
        <v>41</v>
      </c>
      <c r="G539" s="2" t="s">
        <v>42</v>
      </c>
      <c r="H539" s="2" t="s">
        <v>43</v>
      </c>
      <c r="I539" s="2" t="s">
        <v>86</v>
      </c>
      <c r="J539" s="2" t="s">
        <v>44</v>
      </c>
      <c r="K539" s="2" t="s">
        <v>67</v>
      </c>
      <c r="L539" s="2"/>
      <c r="M539" s="2" t="str">
        <f aca="false">IF(L539="","",IF(L539=0,"Low",IF(L539=1,"Medium","High")))</f>
        <v/>
      </c>
    </row>
    <row r="540" customFormat="false" ht="15" hidden="false" customHeight="false" outlineLevel="0" collapsed="false">
      <c r="A540" s="2" t="s">
        <v>843</v>
      </c>
      <c r="B540" s="2" t="s">
        <v>844</v>
      </c>
      <c r="C540" s="2" t="s">
        <v>39</v>
      </c>
      <c r="D540" s="6" t="n">
        <v>45808</v>
      </c>
      <c r="E540" s="2" t="s">
        <v>60</v>
      </c>
      <c r="F540" s="2" t="s">
        <v>32</v>
      </c>
      <c r="G540" s="2" t="s">
        <v>110</v>
      </c>
      <c r="H540" s="2" t="s">
        <v>34</v>
      </c>
      <c r="I540" s="2" t="s">
        <v>53</v>
      </c>
      <c r="J540" s="2" t="s">
        <v>44</v>
      </c>
      <c r="K540" s="2" t="s">
        <v>45</v>
      </c>
      <c r="L540" s="2" t="n">
        <v>4</v>
      </c>
      <c r="M540" s="2" t="str">
        <f aca="false">IF(L540="","",IF(L540=0,"Low",IF(L540=1,"Medium","High")))</f>
        <v>High</v>
      </c>
    </row>
    <row r="541" customFormat="false" ht="15" hidden="false" customHeight="false" outlineLevel="0" collapsed="false">
      <c r="A541" s="2" t="s">
        <v>845</v>
      </c>
      <c r="B541" s="2" t="s">
        <v>844</v>
      </c>
      <c r="C541" s="2" t="s">
        <v>47</v>
      </c>
      <c r="D541" s="6" t="n">
        <v>46173</v>
      </c>
      <c r="E541" s="2" t="s">
        <v>40</v>
      </c>
      <c r="F541" s="2" t="s">
        <v>41</v>
      </c>
      <c r="G541" s="2" t="s">
        <v>42</v>
      </c>
      <c r="H541" s="2" t="s">
        <v>43</v>
      </c>
      <c r="I541" s="2" t="s">
        <v>53</v>
      </c>
      <c r="J541" s="2" t="s">
        <v>79</v>
      </c>
      <c r="K541" s="2" t="s">
        <v>45</v>
      </c>
      <c r="L541" s="2"/>
      <c r="M541" s="2" t="str">
        <f aca="false">IF(L541="","",IF(L541=0,"Low",IF(L541=1,"Medium","High")))</f>
        <v/>
      </c>
    </row>
    <row r="542" customFormat="false" ht="15" hidden="false" customHeight="false" outlineLevel="0" collapsed="false">
      <c r="A542" s="2" t="s">
        <v>846</v>
      </c>
      <c r="B542" s="2" t="s">
        <v>847</v>
      </c>
      <c r="C542" s="2" t="s">
        <v>39</v>
      </c>
      <c r="D542" s="6" t="n">
        <v>45808</v>
      </c>
      <c r="E542" s="2" t="s">
        <v>64</v>
      </c>
      <c r="F542" s="2" t="s">
        <v>65</v>
      </c>
      <c r="G542" s="2" t="s">
        <v>65</v>
      </c>
      <c r="H542" s="2" t="s">
        <v>34</v>
      </c>
      <c r="I542" s="2" t="s">
        <v>66</v>
      </c>
      <c r="J542" s="2" t="s">
        <v>36</v>
      </c>
      <c r="K542" s="2" t="s">
        <v>67</v>
      </c>
      <c r="L542" s="2" t="n">
        <v>0</v>
      </c>
      <c r="M542" s="2" t="str">
        <f aca="false">IF(L542="","",IF(L542=0,"Low",IF(L542=1,"Medium","High")))</f>
        <v>Low</v>
      </c>
    </row>
    <row r="543" customFormat="false" ht="15" hidden="false" customHeight="false" outlineLevel="0" collapsed="false">
      <c r="A543" s="2" t="s">
        <v>848</v>
      </c>
      <c r="B543" s="2" t="s">
        <v>847</v>
      </c>
      <c r="C543" s="2" t="s">
        <v>47</v>
      </c>
      <c r="D543" s="6" t="n">
        <v>46173</v>
      </c>
      <c r="E543" s="2" t="s">
        <v>64</v>
      </c>
      <c r="F543" s="2" t="s">
        <v>65</v>
      </c>
      <c r="G543" s="2" t="s">
        <v>65</v>
      </c>
      <c r="H543" s="2" t="s">
        <v>43</v>
      </c>
      <c r="I543" s="2" t="s">
        <v>66</v>
      </c>
      <c r="J543" s="2" t="s">
        <v>36</v>
      </c>
      <c r="K543" s="2" t="s">
        <v>67</v>
      </c>
      <c r="L543" s="2"/>
      <c r="M543" s="2" t="str">
        <f aca="false">IF(L543="","",IF(L543=0,"Low",IF(L543=1,"Medium","High")))</f>
        <v/>
      </c>
    </row>
    <row r="544" customFormat="false" ht="15" hidden="false" customHeight="false" outlineLevel="0" collapsed="false">
      <c r="A544" s="2" t="s">
        <v>849</v>
      </c>
      <c r="B544" s="2" t="s">
        <v>850</v>
      </c>
      <c r="C544" s="2" t="s">
        <v>39</v>
      </c>
      <c r="D544" s="6" t="n">
        <v>45808</v>
      </c>
      <c r="E544" s="2" t="s">
        <v>60</v>
      </c>
      <c r="F544" s="2" t="s">
        <v>32</v>
      </c>
      <c r="G544" s="2" t="s">
        <v>110</v>
      </c>
      <c r="H544" s="2" t="s">
        <v>34</v>
      </c>
      <c r="I544" s="2" t="s">
        <v>86</v>
      </c>
      <c r="J544" s="2" t="s">
        <v>44</v>
      </c>
      <c r="K544" s="2" t="s">
        <v>45</v>
      </c>
      <c r="L544" s="2" t="n">
        <v>1</v>
      </c>
      <c r="M544" s="2" t="str">
        <f aca="false">IF(L544="","",IF(L544=0,"Low",IF(L544=1,"Medium","High")))</f>
        <v>Medium</v>
      </c>
    </row>
    <row r="545" customFormat="false" ht="15" hidden="false" customHeight="false" outlineLevel="0" collapsed="false">
      <c r="A545" s="2" t="s">
        <v>851</v>
      </c>
      <c r="B545" s="2" t="s">
        <v>850</v>
      </c>
      <c r="C545" s="2" t="s">
        <v>47</v>
      </c>
      <c r="D545" s="6" t="n">
        <v>46173</v>
      </c>
      <c r="E545" s="2" t="s">
        <v>40</v>
      </c>
      <c r="F545" s="2" t="s">
        <v>32</v>
      </c>
      <c r="G545" s="2" t="s">
        <v>42</v>
      </c>
      <c r="H545" s="2" t="s">
        <v>43</v>
      </c>
      <c r="I545" s="2" t="s">
        <v>86</v>
      </c>
      <c r="J545" s="2" t="s">
        <v>44</v>
      </c>
      <c r="K545" s="2" t="s">
        <v>37</v>
      </c>
      <c r="L545" s="2"/>
      <c r="M545" s="2" t="str">
        <f aca="false">IF(L545="","",IF(L545=0,"Low",IF(L545=1,"Medium","High")))</f>
        <v/>
      </c>
    </row>
    <row r="546" customFormat="false" ht="15" hidden="false" customHeight="false" outlineLevel="0" collapsed="false">
      <c r="A546" s="2" t="s">
        <v>852</v>
      </c>
      <c r="B546" s="2" t="s">
        <v>853</v>
      </c>
      <c r="C546" s="2" t="s">
        <v>39</v>
      </c>
      <c r="D546" s="6" t="n">
        <v>45808</v>
      </c>
      <c r="E546" s="2" t="s">
        <v>31</v>
      </c>
      <c r="F546" s="2" t="s">
        <v>32</v>
      </c>
      <c r="G546" s="2" t="s">
        <v>33</v>
      </c>
      <c r="H546" s="2" t="s">
        <v>34</v>
      </c>
      <c r="I546" s="2" t="s">
        <v>86</v>
      </c>
      <c r="J546" s="2" t="s">
        <v>36</v>
      </c>
      <c r="K546" s="2" t="s">
        <v>67</v>
      </c>
      <c r="L546" s="2" t="n">
        <v>0</v>
      </c>
      <c r="M546" s="2" t="str">
        <f aca="false">IF(L546="","",IF(L546=0,"Low",IF(L546=1,"Medium","High")))</f>
        <v>Low</v>
      </c>
    </row>
    <row r="547" customFormat="false" ht="15" hidden="false" customHeight="false" outlineLevel="0" collapsed="false">
      <c r="A547" s="2" t="s">
        <v>854</v>
      </c>
      <c r="B547" s="2" t="s">
        <v>853</v>
      </c>
      <c r="C547" s="2" t="s">
        <v>47</v>
      </c>
      <c r="D547" s="6" t="n">
        <v>46173</v>
      </c>
      <c r="E547" s="2" t="s">
        <v>31</v>
      </c>
      <c r="F547" s="2" t="s">
        <v>32</v>
      </c>
      <c r="G547" s="2" t="s">
        <v>33</v>
      </c>
      <c r="H547" s="2" t="s">
        <v>43</v>
      </c>
      <c r="I547" s="2" t="s">
        <v>86</v>
      </c>
      <c r="J547" s="2" t="s">
        <v>36</v>
      </c>
      <c r="K547" s="2" t="s">
        <v>67</v>
      </c>
      <c r="L547" s="2"/>
      <c r="M547" s="2" t="str">
        <f aca="false">IF(L547="","",IF(L547=0,"Low",IF(L547=1,"Medium","High")))</f>
        <v/>
      </c>
    </row>
    <row r="548" customFormat="false" ht="15" hidden="false" customHeight="false" outlineLevel="0" collapsed="false">
      <c r="A548" s="2" t="s">
        <v>855</v>
      </c>
      <c r="B548" s="2" t="s">
        <v>856</v>
      </c>
      <c r="C548" s="2" t="s">
        <v>39</v>
      </c>
      <c r="D548" s="6" t="n">
        <v>45808</v>
      </c>
      <c r="E548" s="2" t="s">
        <v>60</v>
      </c>
      <c r="F548" s="2" t="s">
        <v>41</v>
      </c>
      <c r="G548" s="2" t="s">
        <v>48</v>
      </c>
      <c r="H548" s="2" t="s">
        <v>34</v>
      </c>
      <c r="I548" s="2" t="s">
        <v>53</v>
      </c>
      <c r="J548" s="2" t="s">
        <v>44</v>
      </c>
      <c r="K548" s="2" t="s">
        <v>37</v>
      </c>
      <c r="L548" s="2"/>
      <c r="M548" s="2" t="str">
        <f aca="false">IF(L548="","",IF(L548=0,"Low",IF(L548=1,"Medium","High")))</f>
        <v/>
      </c>
    </row>
    <row r="549" customFormat="false" ht="15" hidden="false" customHeight="false" outlineLevel="0" collapsed="false">
      <c r="A549" s="2" t="s">
        <v>857</v>
      </c>
      <c r="B549" s="2" t="s">
        <v>858</v>
      </c>
      <c r="C549" s="2" t="s">
        <v>39</v>
      </c>
      <c r="D549" s="6" t="n">
        <v>45808</v>
      </c>
      <c r="E549" s="2" t="s">
        <v>31</v>
      </c>
      <c r="F549" s="2" t="s">
        <v>56</v>
      </c>
      <c r="G549" s="2" t="s">
        <v>110</v>
      </c>
      <c r="H549" s="2" t="s">
        <v>34</v>
      </c>
      <c r="I549" s="2" t="s">
        <v>66</v>
      </c>
      <c r="J549" s="2" t="s">
        <v>36</v>
      </c>
      <c r="K549" s="2" t="s">
        <v>37</v>
      </c>
      <c r="L549" s="2" t="n">
        <v>0</v>
      </c>
      <c r="M549" s="2" t="str">
        <f aca="false">IF(L549="","",IF(L549=0,"Low",IF(L549=1,"Medium","High")))</f>
        <v>Low</v>
      </c>
    </row>
    <row r="550" customFormat="false" ht="15" hidden="false" customHeight="false" outlineLevel="0" collapsed="false">
      <c r="A550" s="2" t="s">
        <v>859</v>
      </c>
      <c r="B550" s="2" t="s">
        <v>858</v>
      </c>
      <c r="C550" s="2" t="s">
        <v>47</v>
      </c>
      <c r="D550" s="6" t="n">
        <v>46173</v>
      </c>
      <c r="E550" s="2" t="s">
        <v>31</v>
      </c>
      <c r="F550" s="2" t="s">
        <v>56</v>
      </c>
      <c r="G550" s="2" t="s">
        <v>33</v>
      </c>
      <c r="H550" s="2" t="s">
        <v>43</v>
      </c>
      <c r="I550" s="2" t="s">
        <v>66</v>
      </c>
      <c r="J550" s="2" t="s">
        <v>36</v>
      </c>
      <c r="K550" s="2" t="s">
        <v>37</v>
      </c>
      <c r="L550" s="2"/>
      <c r="M550" s="2" t="str">
        <f aca="false">IF(L550="","",IF(L550=0,"Low",IF(L550=1,"Medium","High")))</f>
        <v/>
      </c>
    </row>
    <row r="551" customFormat="false" ht="15" hidden="false" customHeight="false" outlineLevel="0" collapsed="false">
      <c r="A551" s="2" t="s">
        <v>860</v>
      </c>
      <c r="B551" s="2" t="s">
        <v>861</v>
      </c>
      <c r="C551" s="2" t="s">
        <v>39</v>
      </c>
      <c r="D551" s="6" t="n">
        <v>45808</v>
      </c>
      <c r="E551" s="2" t="s">
        <v>31</v>
      </c>
      <c r="F551" s="2" t="s">
        <v>32</v>
      </c>
      <c r="G551" s="2" t="s">
        <v>42</v>
      </c>
      <c r="H551" s="2" t="s">
        <v>34</v>
      </c>
      <c r="I551" s="2" t="s">
        <v>53</v>
      </c>
      <c r="J551" s="2" t="s">
        <v>36</v>
      </c>
      <c r="K551" s="2" t="s">
        <v>67</v>
      </c>
      <c r="L551" s="2" t="n">
        <v>1</v>
      </c>
      <c r="M551" s="2" t="str">
        <f aca="false">IF(L551="","",IF(L551=0,"Low",IF(L551=1,"Medium","High")))</f>
        <v>Medium</v>
      </c>
    </row>
    <row r="552" customFormat="false" ht="15" hidden="false" customHeight="false" outlineLevel="0" collapsed="false">
      <c r="A552" s="2" t="s">
        <v>862</v>
      </c>
      <c r="B552" s="2" t="s">
        <v>861</v>
      </c>
      <c r="C552" s="2" t="s">
        <v>47</v>
      </c>
      <c r="D552" s="6" t="n">
        <v>46173</v>
      </c>
      <c r="E552" s="2" t="s">
        <v>60</v>
      </c>
      <c r="F552" s="2" t="s">
        <v>41</v>
      </c>
      <c r="G552" s="2" t="s">
        <v>33</v>
      </c>
      <c r="H552" s="2" t="s">
        <v>43</v>
      </c>
      <c r="I552" s="2" t="s">
        <v>53</v>
      </c>
      <c r="J552" s="2" t="s">
        <v>44</v>
      </c>
      <c r="K552" s="2" t="s">
        <v>37</v>
      </c>
      <c r="L552" s="2"/>
      <c r="M552" s="2" t="str">
        <f aca="false">IF(L552="","",IF(L552=0,"Low",IF(L552=1,"Medium","High")))</f>
        <v/>
      </c>
    </row>
    <row r="553" customFormat="false" ht="15" hidden="false" customHeight="false" outlineLevel="0" collapsed="false">
      <c r="A553" s="2" t="s">
        <v>863</v>
      </c>
      <c r="B553" s="2" t="s">
        <v>864</v>
      </c>
      <c r="C553" s="2" t="s">
        <v>39</v>
      </c>
      <c r="D553" s="6" t="n">
        <v>45808</v>
      </c>
      <c r="E553" s="2" t="s">
        <v>40</v>
      </c>
      <c r="F553" s="2" t="s">
        <v>41</v>
      </c>
      <c r="G553" s="2" t="s">
        <v>110</v>
      </c>
      <c r="H553" s="2" t="s">
        <v>34</v>
      </c>
      <c r="I553" s="2" t="s">
        <v>53</v>
      </c>
      <c r="J553" s="2" t="s">
        <v>79</v>
      </c>
      <c r="K553" s="2" t="s">
        <v>45</v>
      </c>
      <c r="L553" s="2" t="n">
        <v>2</v>
      </c>
      <c r="M553" s="2" t="str">
        <f aca="false">IF(L553="","",IF(L553=0,"Low",IF(L553=1,"Medium","High")))</f>
        <v>High</v>
      </c>
    </row>
    <row r="554" customFormat="false" ht="15" hidden="false" customHeight="false" outlineLevel="0" collapsed="false">
      <c r="A554" s="2" t="s">
        <v>865</v>
      </c>
      <c r="B554" s="2" t="s">
        <v>864</v>
      </c>
      <c r="C554" s="2" t="s">
        <v>47</v>
      </c>
      <c r="D554" s="6" t="n">
        <v>46173</v>
      </c>
      <c r="E554" s="2" t="s">
        <v>40</v>
      </c>
      <c r="F554" s="2" t="s">
        <v>41</v>
      </c>
      <c r="G554" s="2" t="s">
        <v>110</v>
      </c>
      <c r="H554" s="2" t="s">
        <v>43</v>
      </c>
      <c r="I554" s="2" t="s">
        <v>53</v>
      </c>
      <c r="J554" s="2" t="s">
        <v>44</v>
      </c>
      <c r="K554" s="2" t="s">
        <v>37</v>
      </c>
      <c r="L554" s="2"/>
      <c r="M554" s="2" t="str">
        <f aca="false">IF(L554="","",IF(L554=0,"Low",IF(L554=1,"Medium","High")))</f>
        <v/>
      </c>
    </row>
    <row r="555" customFormat="false" ht="15" hidden="false" customHeight="false" outlineLevel="0" collapsed="false">
      <c r="A555" s="2" t="s">
        <v>866</v>
      </c>
      <c r="B555" s="2" t="s">
        <v>867</v>
      </c>
      <c r="C555" s="2" t="s">
        <v>39</v>
      </c>
      <c r="D555" s="6" t="n">
        <v>45808</v>
      </c>
      <c r="E555" s="2" t="s">
        <v>60</v>
      </c>
      <c r="F555" s="2" t="s">
        <v>41</v>
      </c>
      <c r="G555" s="2" t="s">
        <v>42</v>
      </c>
      <c r="H555" s="2" t="s">
        <v>34</v>
      </c>
      <c r="I555" s="2" t="s">
        <v>66</v>
      </c>
      <c r="J555" s="2" t="s">
        <v>44</v>
      </c>
      <c r="K555" s="2" t="s">
        <v>67</v>
      </c>
      <c r="L555" s="2" t="n">
        <v>0</v>
      </c>
      <c r="M555" s="2" t="str">
        <f aca="false">IF(L555="","",IF(L555=0,"Low",IF(L555=1,"Medium","High")))</f>
        <v>Low</v>
      </c>
    </row>
    <row r="556" customFormat="false" ht="15" hidden="false" customHeight="false" outlineLevel="0" collapsed="false">
      <c r="A556" s="2" t="s">
        <v>868</v>
      </c>
      <c r="B556" s="2" t="s">
        <v>867</v>
      </c>
      <c r="C556" s="2" t="s">
        <v>47</v>
      </c>
      <c r="D556" s="6" t="n">
        <v>46173</v>
      </c>
      <c r="E556" s="2" t="s">
        <v>60</v>
      </c>
      <c r="F556" s="2" t="s">
        <v>41</v>
      </c>
      <c r="G556" s="2" t="s">
        <v>33</v>
      </c>
      <c r="H556" s="2" t="s">
        <v>43</v>
      </c>
      <c r="I556" s="2" t="s">
        <v>66</v>
      </c>
      <c r="J556" s="2" t="s">
        <v>44</v>
      </c>
      <c r="K556" s="2" t="s">
        <v>67</v>
      </c>
      <c r="L556" s="2"/>
      <c r="M556" s="2" t="str">
        <f aca="false">IF(L556="","",IF(L556=0,"Low",IF(L556=1,"Medium","High")))</f>
        <v/>
      </c>
    </row>
    <row r="557" customFormat="false" ht="15" hidden="false" customHeight="false" outlineLevel="0" collapsed="false">
      <c r="A557" s="2" t="s">
        <v>869</v>
      </c>
      <c r="B557" s="2" t="s">
        <v>870</v>
      </c>
      <c r="C557" s="2" t="s">
        <v>39</v>
      </c>
      <c r="D557" s="6" t="n">
        <v>45808</v>
      </c>
      <c r="E557" s="2" t="s">
        <v>64</v>
      </c>
      <c r="F557" s="2" t="s">
        <v>65</v>
      </c>
      <c r="G557" s="2" t="s">
        <v>65</v>
      </c>
      <c r="H557" s="2" t="s">
        <v>34</v>
      </c>
      <c r="I557" s="2" t="s">
        <v>86</v>
      </c>
      <c r="J557" s="2" t="s">
        <v>36</v>
      </c>
      <c r="K557" s="2" t="s">
        <v>67</v>
      </c>
      <c r="L557" s="2" t="n">
        <v>0</v>
      </c>
      <c r="M557" s="2" t="str">
        <f aca="false">IF(L557="","",IF(L557=0,"Low",IF(L557=1,"Medium","High")))</f>
        <v>Low</v>
      </c>
    </row>
    <row r="558" customFormat="false" ht="15" hidden="false" customHeight="false" outlineLevel="0" collapsed="false">
      <c r="A558" s="2" t="s">
        <v>871</v>
      </c>
      <c r="B558" s="2" t="s">
        <v>870</v>
      </c>
      <c r="C558" s="2" t="s">
        <v>47</v>
      </c>
      <c r="D558" s="6" t="n">
        <v>46173</v>
      </c>
      <c r="E558" s="2" t="s">
        <v>64</v>
      </c>
      <c r="F558" s="2" t="s">
        <v>65</v>
      </c>
      <c r="G558" s="2" t="s">
        <v>65</v>
      </c>
      <c r="H558" s="2" t="s">
        <v>43</v>
      </c>
      <c r="I558" s="2" t="s">
        <v>86</v>
      </c>
      <c r="J558" s="2" t="s">
        <v>36</v>
      </c>
      <c r="K558" s="2" t="s">
        <v>67</v>
      </c>
      <c r="L558" s="2"/>
      <c r="M558" s="2" t="str">
        <f aca="false">IF(L558="","",IF(L558=0,"Low",IF(L558=1,"Medium","High")))</f>
        <v/>
      </c>
    </row>
    <row r="559" customFormat="false" ht="15" hidden="false" customHeight="false" outlineLevel="0" collapsed="false">
      <c r="A559" s="2" t="s">
        <v>872</v>
      </c>
      <c r="B559" s="2" t="s">
        <v>873</v>
      </c>
      <c r="C559" s="2" t="s">
        <v>39</v>
      </c>
      <c r="D559" s="6" t="n">
        <v>45808</v>
      </c>
      <c r="E559" s="2" t="s">
        <v>60</v>
      </c>
      <c r="F559" s="2" t="s">
        <v>32</v>
      </c>
      <c r="G559" s="2" t="s">
        <v>48</v>
      </c>
      <c r="H559" s="2" t="s">
        <v>34</v>
      </c>
      <c r="I559" s="2" t="s">
        <v>86</v>
      </c>
      <c r="J559" s="2" t="s">
        <v>44</v>
      </c>
      <c r="K559" s="2" t="s">
        <v>45</v>
      </c>
      <c r="L559" s="2" t="n">
        <v>1</v>
      </c>
      <c r="M559" s="2" t="str">
        <f aca="false">IF(L559="","",IF(L559=0,"Low",IF(L559=1,"Medium","High")))</f>
        <v>Medium</v>
      </c>
    </row>
    <row r="560" customFormat="false" ht="15" hidden="false" customHeight="false" outlineLevel="0" collapsed="false">
      <c r="A560" s="2" t="s">
        <v>874</v>
      </c>
      <c r="B560" s="2" t="s">
        <v>873</v>
      </c>
      <c r="C560" s="2" t="s">
        <v>47</v>
      </c>
      <c r="D560" s="6" t="n">
        <v>46173</v>
      </c>
      <c r="E560" s="2" t="s">
        <v>60</v>
      </c>
      <c r="F560" s="2" t="s">
        <v>32</v>
      </c>
      <c r="G560" s="2" t="s">
        <v>42</v>
      </c>
      <c r="H560" s="2" t="s">
        <v>43</v>
      </c>
      <c r="I560" s="2" t="s">
        <v>86</v>
      </c>
      <c r="J560" s="2" t="s">
        <v>44</v>
      </c>
      <c r="K560" s="2" t="s">
        <v>37</v>
      </c>
      <c r="L560" s="2"/>
      <c r="M560" s="2" t="str">
        <f aca="false">IF(L560="","",IF(L560=0,"Low",IF(L560=1,"Medium","High")))</f>
        <v/>
      </c>
    </row>
    <row r="561" customFormat="false" ht="15" hidden="false" customHeight="false" outlineLevel="0" collapsed="false">
      <c r="A561" s="2" t="s">
        <v>875</v>
      </c>
      <c r="B561" s="2" t="s">
        <v>876</v>
      </c>
      <c r="C561" s="2" t="s">
        <v>39</v>
      </c>
      <c r="D561" s="6" t="n">
        <v>45808</v>
      </c>
      <c r="E561" s="2" t="s">
        <v>64</v>
      </c>
      <c r="F561" s="2" t="s">
        <v>65</v>
      </c>
      <c r="G561" s="2" t="s">
        <v>65</v>
      </c>
      <c r="H561" s="2" t="s">
        <v>34</v>
      </c>
      <c r="I561" s="2" t="s">
        <v>66</v>
      </c>
      <c r="J561" s="2" t="s">
        <v>36</v>
      </c>
      <c r="K561" s="2" t="s">
        <v>67</v>
      </c>
      <c r="L561" s="2" t="n">
        <v>0</v>
      </c>
      <c r="M561" s="2" t="str">
        <f aca="false">IF(L561="","",IF(L561=0,"Low",IF(L561=1,"Medium","High")))</f>
        <v>Low</v>
      </c>
    </row>
    <row r="562" customFormat="false" ht="15" hidden="false" customHeight="false" outlineLevel="0" collapsed="false">
      <c r="A562" s="2" t="s">
        <v>877</v>
      </c>
      <c r="B562" s="2" t="s">
        <v>876</v>
      </c>
      <c r="C562" s="2" t="s">
        <v>47</v>
      </c>
      <c r="D562" s="6" t="n">
        <v>46173</v>
      </c>
      <c r="E562" s="2" t="s">
        <v>64</v>
      </c>
      <c r="F562" s="2" t="s">
        <v>65</v>
      </c>
      <c r="G562" s="2" t="s">
        <v>65</v>
      </c>
      <c r="H562" s="2" t="s">
        <v>43</v>
      </c>
      <c r="I562" s="2" t="s">
        <v>66</v>
      </c>
      <c r="J562" s="2" t="s">
        <v>36</v>
      </c>
      <c r="K562" s="2" t="s">
        <v>67</v>
      </c>
      <c r="L562" s="2"/>
      <c r="M562" s="2" t="str">
        <f aca="false">IF(L562="","",IF(L562=0,"Low",IF(L562=1,"Medium","High")))</f>
        <v/>
      </c>
    </row>
    <row r="563" customFormat="false" ht="15" hidden="false" customHeight="false" outlineLevel="0" collapsed="false">
      <c r="A563" s="2" t="s">
        <v>878</v>
      </c>
      <c r="B563" s="2" t="s">
        <v>879</v>
      </c>
      <c r="C563" s="2" t="s">
        <v>39</v>
      </c>
      <c r="D563" s="6" t="n">
        <v>45808</v>
      </c>
      <c r="E563" s="2" t="s">
        <v>31</v>
      </c>
      <c r="F563" s="2" t="s">
        <v>32</v>
      </c>
      <c r="G563" s="2" t="s">
        <v>33</v>
      </c>
      <c r="H563" s="2" t="s">
        <v>34</v>
      </c>
      <c r="I563" s="2" t="s">
        <v>53</v>
      </c>
      <c r="J563" s="2" t="s">
        <v>36</v>
      </c>
      <c r="K563" s="2" t="s">
        <v>57</v>
      </c>
      <c r="L563" s="2" t="n">
        <v>2</v>
      </c>
      <c r="M563" s="2" t="str">
        <f aca="false">IF(L563="","",IF(L563=0,"Low",IF(L563=1,"Medium","High")))</f>
        <v>High</v>
      </c>
    </row>
    <row r="564" customFormat="false" ht="15" hidden="false" customHeight="false" outlineLevel="0" collapsed="false">
      <c r="A564" s="2" t="s">
        <v>880</v>
      </c>
      <c r="B564" s="2" t="s">
        <v>879</v>
      </c>
      <c r="C564" s="2" t="s">
        <v>47</v>
      </c>
      <c r="D564" s="6" t="n">
        <v>46173</v>
      </c>
      <c r="E564" s="2" t="s">
        <v>60</v>
      </c>
      <c r="F564" s="2" t="s">
        <v>32</v>
      </c>
      <c r="G564" s="2" t="s">
        <v>33</v>
      </c>
      <c r="H564" s="2" t="s">
        <v>43</v>
      </c>
      <c r="I564" s="2" t="s">
        <v>53</v>
      </c>
      <c r="J564" s="2" t="s">
        <v>44</v>
      </c>
      <c r="K564" s="2" t="s">
        <v>45</v>
      </c>
      <c r="L564" s="2"/>
      <c r="M564" s="2" t="str">
        <f aca="false">IF(L564="","",IF(L564=0,"Low",IF(L564=1,"Medium","High")))</f>
        <v/>
      </c>
    </row>
    <row r="565" customFormat="false" ht="15" hidden="false" customHeight="false" outlineLevel="0" collapsed="false">
      <c r="A565" s="2" t="s">
        <v>881</v>
      </c>
      <c r="B565" s="2" t="s">
        <v>882</v>
      </c>
      <c r="C565" s="2" t="s">
        <v>39</v>
      </c>
      <c r="D565" s="6" t="n">
        <v>45808</v>
      </c>
      <c r="E565" s="2" t="s">
        <v>60</v>
      </c>
      <c r="F565" s="2" t="s">
        <v>41</v>
      </c>
      <c r="G565" s="2" t="s">
        <v>42</v>
      </c>
      <c r="H565" s="2" t="s">
        <v>34</v>
      </c>
      <c r="I565" s="2" t="s">
        <v>35</v>
      </c>
      <c r="J565" s="2" t="s">
        <v>79</v>
      </c>
      <c r="K565" s="2" t="s">
        <v>37</v>
      </c>
      <c r="L565" s="2" t="n">
        <v>2</v>
      </c>
      <c r="M565" s="2" t="str">
        <f aca="false">IF(L565="","",IF(L565=0,"Low",IF(L565=1,"Medium","High")))</f>
        <v>High</v>
      </c>
    </row>
    <row r="566" customFormat="false" ht="15" hidden="false" customHeight="false" outlineLevel="0" collapsed="false">
      <c r="A566" s="2" t="s">
        <v>883</v>
      </c>
      <c r="B566" s="2" t="s">
        <v>882</v>
      </c>
      <c r="C566" s="2" t="s">
        <v>47</v>
      </c>
      <c r="D566" s="6" t="n">
        <v>46173</v>
      </c>
      <c r="E566" s="2" t="s">
        <v>40</v>
      </c>
      <c r="F566" s="2" t="s">
        <v>41</v>
      </c>
      <c r="G566" s="2" t="s">
        <v>42</v>
      </c>
      <c r="H566" s="2" t="s">
        <v>43</v>
      </c>
      <c r="I566" s="2" t="s">
        <v>35</v>
      </c>
      <c r="J566" s="2" t="s">
        <v>44</v>
      </c>
      <c r="K566" s="2" t="s">
        <v>67</v>
      </c>
      <c r="L566" s="2"/>
      <c r="M566" s="2" t="str">
        <f aca="false">IF(L566="","",IF(L566=0,"Low",IF(L566=1,"Medium","High")))</f>
        <v/>
      </c>
    </row>
    <row r="567" customFormat="false" ht="15" hidden="false" customHeight="false" outlineLevel="0" collapsed="false">
      <c r="A567" s="2" t="s">
        <v>884</v>
      </c>
      <c r="B567" s="2" t="s">
        <v>885</v>
      </c>
      <c r="C567" s="2" t="s">
        <v>39</v>
      </c>
      <c r="D567" s="6" t="n">
        <v>45808</v>
      </c>
      <c r="E567" s="2" t="s">
        <v>60</v>
      </c>
      <c r="F567" s="2" t="s">
        <v>41</v>
      </c>
      <c r="G567" s="2" t="s">
        <v>42</v>
      </c>
      <c r="H567" s="2" t="s">
        <v>34</v>
      </c>
      <c r="I567" s="2" t="s">
        <v>53</v>
      </c>
      <c r="J567" s="2" t="s">
        <v>44</v>
      </c>
      <c r="K567" s="2" t="s">
        <v>45</v>
      </c>
      <c r="L567" s="2"/>
      <c r="M567" s="2" t="str">
        <f aca="false">IF(L567="","",IF(L567=0,"Low",IF(L567=1,"Medium","High")))</f>
        <v/>
      </c>
    </row>
    <row r="568" customFormat="false" ht="15" hidden="false" customHeight="false" outlineLevel="0" collapsed="false">
      <c r="A568" s="2" t="s">
        <v>886</v>
      </c>
      <c r="B568" s="2" t="s">
        <v>887</v>
      </c>
      <c r="C568" s="2" t="s">
        <v>39</v>
      </c>
      <c r="D568" s="6" t="n">
        <v>45808</v>
      </c>
      <c r="E568" s="2" t="s">
        <v>64</v>
      </c>
      <c r="F568" s="2" t="s">
        <v>65</v>
      </c>
      <c r="G568" s="2" t="s">
        <v>65</v>
      </c>
      <c r="H568" s="2" t="s">
        <v>34</v>
      </c>
      <c r="I568" s="2" t="s">
        <v>66</v>
      </c>
      <c r="J568" s="2" t="s">
        <v>36</v>
      </c>
      <c r="K568" s="2" t="s">
        <v>67</v>
      </c>
      <c r="L568" s="2" t="n">
        <v>0</v>
      </c>
      <c r="M568" s="2" t="str">
        <f aca="false">IF(L568="","",IF(L568=0,"Low",IF(L568=1,"Medium","High")))</f>
        <v>Low</v>
      </c>
    </row>
    <row r="569" customFormat="false" ht="15" hidden="false" customHeight="false" outlineLevel="0" collapsed="false">
      <c r="A569" s="2" t="s">
        <v>888</v>
      </c>
      <c r="B569" s="2" t="s">
        <v>887</v>
      </c>
      <c r="C569" s="2" t="s">
        <v>47</v>
      </c>
      <c r="D569" s="6" t="n">
        <v>46173</v>
      </c>
      <c r="E569" s="2" t="s">
        <v>64</v>
      </c>
      <c r="F569" s="2" t="s">
        <v>65</v>
      </c>
      <c r="G569" s="2" t="s">
        <v>65</v>
      </c>
      <c r="H569" s="2" t="s">
        <v>43</v>
      </c>
      <c r="I569" s="2" t="s">
        <v>66</v>
      </c>
      <c r="J569" s="2" t="s">
        <v>36</v>
      </c>
      <c r="K569" s="2" t="s">
        <v>67</v>
      </c>
      <c r="L569" s="2"/>
      <c r="M569" s="2" t="str">
        <f aca="false">IF(L569="","",IF(L569=0,"Low",IF(L569=1,"Medium","High")))</f>
        <v/>
      </c>
    </row>
    <row r="570" customFormat="false" ht="15" hidden="false" customHeight="false" outlineLevel="0" collapsed="false">
      <c r="A570" s="2" t="s">
        <v>889</v>
      </c>
      <c r="B570" s="2" t="s">
        <v>890</v>
      </c>
      <c r="C570" s="2" t="s">
        <v>39</v>
      </c>
      <c r="D570" s="6" t="n">
        <v>45808</v>
      </c>
      <c r="E570" s="2" t="s">
        <v>64</v>
      </c>
      <c r="F570" s="2" t="s">
        <v>65</v>
      </c>
      <c r="G570" s="2" t="s">
        <v>65</v>
      </c>
      <c r="H570" s="2" t="s">
        <v>34</v>
      </c>
      <c r="I570" s="2" t="s">
        <v>35</v>
      </c>
      <c r="J570" s="2" t="s">
        <v>36</v>
      </c>
      <c r="K570" s="2" t="s">
        <v>67</v>
      </c>
      <c r="L570" s="2"/>
      <c r="M570" s="2" t="str">
        <f aca="false">IF(L570="","",IF(L570=0,"Low",IF(L570=1,"Medium","High")))</f>
        <v/>
      </c>
    </row>
    <row r="571" customFormat="false" ht="15" hidden="false" customHeight="false" outlineLevel="0" collapsed="false">
      <c r="A571" s="2" t="s">
        <v>891</v>
      </c>
      <c r="B571" s="2" t="s">
        <v>892</v>
      </c>
      <c r="C571" s="2" t="s">
        <v>39</v>
      </c>
      <c r="D571" s="6" t="n">
        <v>45808</v>
      </c>
      <c r="E571" s="2" t="s">
        <v>60</v>
      </c>
      <c r="F571" s="2" t="s">
        <v>56</v>
      </c>
      <c r="G571" s="2" t="s">
        <v>33</v>
      </c>
      <c r="H571" s="2" t="s">
        <v>34</v>
      </c>
      <c r="I571" s="2" t="s">
        <v>35</v>
      </c>
      <c r="J571" s="2" t="s">
        <v>79</v>
      </c>
      <c r="K571" s="2" t="s">
        <v>57</v>
      </c>
      <c r="L571" s="2" t="n">
        <v>2</v>
      </c>
      <c r="M571" s="2" t="str">
        <f aca="false">IF(L571="","",IF(L571=0,"Low",IF(L571=1,"Medium","High")))</f>
        <v>High</v>
      </c>
    </row>
    <row r="572" customFormat="false" ht="15" hidden="false" customHeight="false" outlineLevel="0" collapsed="false">
      <c r="A572" s="2" t="s">
        <v>893</v>
      </c>
      <c r="B572" s="2" t="s">
        <v>892</v>
      </c>
      <c r="C572" s="2" t="s">
        <v>47</v>
      </c>
      <c r="D572" s="6" t="n">
        <v>46173</v>
      </c>
      <c r="E572" s="2" t="s">
        <v>40</v>
      </c>
      <c r="F572" s="2" t="s">
        <v>56</v>
      </c>
      <c r="G572" s="2" t="s">
        <v>42</v>
      </c>
      <c r="H572" s="2" t="s">
        <v>43</v>
      </c>
      <c r="I572" s="2" t="s">
        <v>35</v>
      </c>
      <c r="J572" s="2" t="s">
        <v>44</v>
      </c>
      <c r="K572" s="2" t="s">
        <v>37</v>
      </c>
      <c r="L572" s="2"/>
      <c r="M572" s="2" t="str">
        <f aca="false">IF(L572="","",IF(L572=0,"Low",IF(L572=1,"Medium","High")))</f>
        <v/>
      </c>
    </row>
    <row r="573" customFormat="false" ht="15" hidden="false" customHeight="false" outlineLevel="0" collapsed="false">
      <c r="A573" s="2" t="s">
        <v>894</v>
      </c>
      <c r="B573" s="2" t="s">
        <v>895</v>
      </c>
      <c r="C573" s="2" t="s">
        <v>39</v>
      </c>
      <c r="D573" s="6" t="n">
        <v>45808</v>
      </c>
      <c r="E573" s="2" t="s">
        <v>64</v>
      </c>
      <c r="F573" s="2" t="s">
        <v>65</v>
      </c>
      <c r="G573" s="2" t="s">
        <v>65</v>
      </c>
      <c r="H573" s="2" t="s">
        <v>34</v>
      </c>
      <c r="I573" s="2" t="s">
        <v>53</v>
      </c>
      <c r="J573" s="2" t="s">
        <v>36</v>
      </c>
      <c r="K573" s="2" t="s">
        <v>67</v>
      </c>
      <c r="L573" s="2"/>
      <c r="M573" s="2" t="str">
        <f aca="false">IF(L573="","",IF(L573=0,"Low",IF(L573=1,"Medium","High")))</f>
        <v/>
      </c>
    </row>
    <row r="574" customFormat="false" ht="15" hidden="false" customHeight="false" outlineLevel="0" collapsed="false">
      <c r="A574" s="2" t="s">
        <v>896</v>
      </c>
      <c r="B574" s="2" t="s">
        <v>897</v>
      </c>
      <c r="C574" s="2" t="s">
        <v>39</v>
      </c>
      <c r="D574" s="6" t="n">
        <v>45808</v>
      </c>
      <c r="E574" s="2" t="s">
        <v>64</v>
      </c>
      <c r="F574" s="2" t="s">
        <v>65</v>
      </c>
      <c r="G574" s="2" t="s">
        <v>65</v>
      </c>
      <c r="H574" s="2" t="s">
        <v>34</v>
      </c>
      <c r="I574" s="2" t="s">
        <v>53</v>
      </c>
      <c r="J574" s="2" t="s">
        <v>36</v>
      </c>
      <c r="K574" s="2" t="s">
        <v>67</v>
      </c>
      <c r="L574" s="2" t="n">
        <v>0</v>
      </c>
      <c r="M574" s="2" t="str">
        <f aca="false">IF(L574="","",IF(L574=0,"Low",IF(L574=1,"Medium","High")))</f>
        <v>Low</v>
      </c>
    </row>
    <row r="575" customFormat="false" ht="15" hidden="false" customHeight="false" outlineLevel="0" collapsed="false">
      <c r="A575" s="2" t="s">
        <v>898</v>
      </c>
      <c r="B575" s="2" t="s">
        <v>897</v>
      </c>
      <c r="C575" s="2" t="s">
        <v>47</v>
      </c>
      <c r="D575" s="6" t="n">
        <v>46173</v>
      </c>
      <c r="E575" s="2" t="s">
        <v>64</v>
      </c>
      <c r="F575" s="2" t="s">
        <v>65</v>
      </c>
      <c r="G575" s="2" t="s">
        <v>65</v>
      </c>
      <c r="H575" s="2" t="s">
        <v>43</v>
      </c>
      <c r="I575" s="2" t="s">
        <v>53</v>
      </c>
      <c r="J575" s="2" t="s">
        <v>36</v>
      </c>
      <c r="K575" s="2" t="s">
        <v>67</v>
      </c>
      <c r="L575" s="2"/>
      <c r="M575" s="2" t="str">
        <f aca="false">IF(L575="","",IF(L575=0,"Low",IF(L575=1,"Medium","High")))</f>
        <v/>
      </c>
    </row>
    <row r="576" customFormat="false" ht="15" hidden="false" customHeight="false" outlineLevel="0" collapsed="false">
      <c r="A576" s="2" t="s">
        <v>899</v>
      </c>
      <c r="B576" s="2" t="s">
        <v>900</v>
      </c>
      <c r="C576" s="2" t="s">
        <v>39</v>
      </c>
      <c r="D576" s="6" t="n">
        <v>45808</v>
      </c>
      <c r="E576" s="2" t="s">
        <v>64</v>
      </c>
      <c r="F576" s="2" t="s">
        <v>65</v>
      </c>
      <c r="G576" s="2" t="s">
        <v>65</v>
      </c>
      <c r="H576" s="2" t="s">
        <v>34</v>
      </c>
      <c r="I576" s="2" t="s">
        <v>86</v>
      </c>
      <c r="J576" s="2" t="s">
        <v>36</v>
      </c>
      <c r="K576" s="2" t="s">
        <v>67</v>
      </c>
      <c r="L576" s="2" t="n">
        <v>1</v>
      </c>
      <c r="M576" s="2" t="str">
        <f aca="false">IF(L576="","",IF(L576=0,"Low",IF(L576=1,"Medium","High")))</f>
        <v>Medium</v>
      </c>
    </row>
    <row r="577" customFormat="false" ht="15" hidden="false" customHeight="false" outlineLevel="0" collapsed="false">
      <c r="A577" s="2" t="s">
        <v>901</v>
      </c>
      <c r="B577" s="2" t="s">
        <v>900</v>
      </c>
      <c r="C577" s="2" t="s">
        <v>47</v>
      </c>
      <c r="D577" s="6" t="n">
        <v>46173</v>
      </c>
      <c r="E577" s="2" t="s">
        <v>31</v>
      </c>
      <c r="F577" s="2" t="s">
        <v>32</v>
      </c>
      <c r="G577" s="2" t="s">
        <v>48</v>
      </c>
      <c r="H577" s="2" t="s">
        <v>43</v>
      </c>
      <c r="I577" s="2" t="s">
        <v>86</v>
      </c>
      <c r="J577" s="2" t="s">
        <v>36</v>
      </c>
      <c r="K577" s="2" t="s">
        <v>45</v>
      </c>
      <c r="L577" s="2"/>
      <c r="M577" s="2" t="str">
        <f aca="false">IF(L577="","",IF(L577=0,"Low",IF(L577=1,"Medium","High")))</f>
        <v/>
      </c>
    </row>
    <row r="578" customFormat="false" ht="15" hidden="false" customHeight="false" outlineLevel="0" collapsed="false">
      <c r="A578" s="2" t="s">
        <v>902</v>
      </c>
      <c r="B578" s="2" t="s">
        <v>903</v>
      </c>
      <c r="C578" s="2" t="s">
        <v>39</v>
      </c>
      <c r="D578" s="6" t="n">
        <v>45808</v>
      </c>
      <c r="E578" s="2" t="s">
        <v>64</v>
      </c>
      <c r="F578" s="2" t="s">
        <v>65</v>
      </c>
      <c r="G578" s="2" t="s">
        <v>65</v>
      </c>
      <c r="H578" s="2" t="s">
        <v>34</v>
      </c>
      <c r="I578" s="2" t="s">
        <v>53</v>
      </c>
      <c r="J578" s="2" t="s">
        <v>36</v>
      </c>
      <c r="K578" s="2" t="s">
        <v>67</v>
      </c>
      <c r="L578" s="2"/>
      <c r="M578" s="2" t="str">
        <f aca="false">IF(L578="","",IF(L578=0,"Low",IF(L578=1,"Medium","High")))</f>
        <v/>
      </c>
    </row>
    <row r="579" customFormat="false" ht="15" hidden="false" customHeight="false" outlineLevel="0" collapsed="false">
      <c r="A579" s="2" t="s">
        <v>904</v>
      </c>
      <c r="B579" s="2" t="s">
        <v>905</v>
      </c>
      <c r="C579" s="2" t="s">
        <v>39</v>
      </c>
      <c r="D579" s="6" t="n">
        <v>45808</v>
      </c>
      <c r="E579" s="2" t="s">
        <v>64</v>
      </c>
      <c r="F579" s="2" t="s">
        <v>65</v>
      </c>
      <c r="G579" s="2" t="s">
        <v>65</v>
      </c>
      <c r="H579" s="2" t="s">
        <v>34</v>
      </c>
      <c r="I579" s="2" t="s">
        <v>53</v>
      </c>
      <c r="J579" s="2" t="s">
        <v>36</v>
      </c>
      <c r="K579" s="2" t="s">
        <v>67</v>
      </c>
      <c r="L579" s="2" t="n">
        <v>0</v>
      </c>
      <c r="M579" s="2" t="str">
        <f aca="false">IF(L579="","",IF(L579=0,"Low",IF(L579=1,"Medium","High")))</f>
        <v>Low</v>
      </c>
    </row>
    <row r="580" customFormat="false" ht="15" hidden="false" customHeight="false" outlineLevel="0" collapsed="false">
      <c r="A580" s="2" t="s">
        <v>906</v>
      </c>
      <c r="B580" s="2" t="s">
        <v>905</v>
      </c>
      <c r="C580" s="2" t="s">
        <v>47</v>
      </c>
      <c r="D580" s="6" t="n">
        <v>46173</v>
      </c>
      <c r="E580" s="2" t="s">
        <v>64</v>
      </c>
      <c r="F580" s="2" t="s">
        <v>65</v>
      </c>
      <c r="G580" s="2" t="s">
        <v>65</v>
      </c>
      <c r="H580" s="2" t="s">
        <v>43</v>
      </c>
      <c r="I580" s="2" t="s">
        <v>53</v>
      </c>
      <c r="J580" s="2" t="s">
        <v>36</v>
      </c>
      <c r="K580" s="2" t="s">
        <v>67</v>
      </c>
      <c r="L580" s="2"/>
      <c r="M580" s="2" t="str">
        <f aca="false">IF(L580="","",IF(L580=0,"Low",IF(L580=1,"Medium","High")))</f>
        <v/>
      </c>
    </row>
    <row r="581" customFormat="false" ht="15" hidden="false" customHeight="false" outlineLevel="0" collapsed="false">
      <c r="A581" s="2" t="s">
        <v>907</v>
      </c>
      <c r="B581" s="2" t="s">
        <v>908</v>
      </c>
      <c r="C581" s="2" t="s">
        <v>39</v>
      </c>
      <c r="D581" s="6" t="n">
        <v>45808</v>
      </c>
      <c r="E581" s="2" t="s">
        <v>60</v>
      </c>
      <c r="F581" s="2" t="s">
        <v>32</v>
      </c>
      <c r="G581" s="2" t="s">
        <v>48</v>
      </c>
      <c r="H581" s="2" t="s">
        <v>34</v>
      </c>
      <c r="I581" s="2" t="s">
        <v>53</v>
      </c>
      <c r="J581" s="2" t="s">
        <v>44</v>
      </c>
      <c r="K581" s="2" t="s">
        <v>37</v>
      </c>
      <c r="L581" s="2" t="n">
        <v>1</v>
      </c>
      <c r="M581" s="2" t="str">
        <f aca="false">IF(L581="","",IF(L581=0,"Low",IF(L581=1,"Medium","High")))</f>
        <v>Medium</v>
      </c>
    </row>
    <row r="582" customFormat="false" ht="15" hidden="false" customHeight="false" outlineLevel="0" collapsed="false">
      <c r="A582" s="2" t="s">
        <v>909</v>
      </c>
      <c r="B582" s="2" t="s">
        <v>908</v>
      </c>
      <c r="C582" s="2" t="s">
        <v>47</v>
      </c>
      <c r="D582" s="6" t="n">
        <v>46173</v>
      </c>
      <c r="E582" s="2" t="s">
        <v>60</v>
      </c>
      <c r="F582" s="2" t="s">
        <v>41</v>
      </c>
      <c r="G582" s="2" t="s">
        <v>33</v>
      </c>
      <c r="H582" s="2" t="s">
        <v>43</v>
      </c>
      <c r="I582" s="2" t="s">
        <v>53</v>
      </c>
      <c r="J582" s="2" t="s">
        <v>44</v>
      </c>
      <c r="K582" s="2" t="s">
        <v>45</v>
      </c>
      <c r="L582" s="2"/>
      <c r="M582" s="2" t="str">
        <f aca="false">IF(L582="","",IF(L582=0,"Low",IF(L582=1,"Medium","High")))</f>
        <v/>
      </c>
    </row>
    <row r="583" customFormat="false" ht="15" hidden="false" customHeight="false" outlineLevel="0" collapsed="false">
      <c r="A583" s="2" t="s">
        <v>910</v>
      </c>
      <c r="B583" s="2" t="s">
        <v>911</v>
      </c>
      <c r="C583" s="2" t="s">
        <v>39</v>
      </c>
      <c r="D583" s="6" t="n">
        <v>45808</v>
      </c>
      <c r="E583" s="2" t="s">
        <v>64</v>
      </c>
      <c r="F583" s="2" t="s">
        <v>65</v>
      </c>
      <c r="G583" s="2" t="s">
        <v>65</v>
      </c>
      <c r="H583" s="2" t="s">
        <v>34</v>
      </c>
      <c r="I583" s="2" t="s">
        <v>35</v>
      </c>
      <c r="J583" s="2" t="s">
        <v>36</v>
      </c>
      <c r="K583" s="2" t="s">
        <v>67</v>
      </c>
      <c r="L583" s="2" t="n">
        <v>0</v>
      </c>
      <c r="M583" s="2" t="str">
        <f aca="false">IF(L583="","",IF(L583=0,"Low",IF(L583=1,"Medium","High")))</f>
        <v>Low</v>
      </c>
    </row>
    <row r="584" customFormat="false" ht="15" hidden="false" customHeight="false" outlineLevel="0" collapsed="false">
      <c r="A584" s="2" t="s">
        <v>912</v>
      </c>
      <c r="B584" s="2" t="s">
        <v>911</v>
      </c>
      <c r="C584" s="2" t="s">
        <v>47</v>
      </c>
      <c r="D584" s="6" t="n">
        <v>46173</v>
      </c>
      <c r="E584" s="2" t="s">
        <v>64</v>
      </c>
      <c r="F584" s="2" t="s">
        <v>65</v>
      </c>
      <c r="G584" s="2" t="s">
        <v>65</v>
      </c>
      <c r="H584" s="2" t="s">
        <v>43</v>
      </c>
      <c r="I584" s="2" t="s">
        <v>35</v>
      </c>
      <c r="J584" s="2" t="s">
        <v>36</v>
      </c>
      <c r="K584" s="2" t="s">
        <v>67</v>
      </c>
      <c r="L584" s="2"/>
      <c r="M584" s="2" t="str">
        <f aca="false">IF(L584="","",IF(L584=0,"Low",IF(L584=1,"Medium","High")))</f>
        <v/>
      </c>
    </row>
    <row r="585" customFormat="false" ht="15" hidden="false" customHeight="false" outlineLevel="0" collapsed="false">
      <c r="A585" s="2" t="s">
        <v>913</v>
      </c>
      <c r="B585" s="2" t="s">
        <v>914</v>
      </c>
      <c r="C585" s="2" t="s">
        <v>39</v>
      </c>
      <c r="D585" s="6" t="n">
        <v>45808</v>
      </c>
      <c r="E585" s="2" t="s">
        <v>31</v>
      </c>
      <c r="F585" s="2" t="s">
        <v>32</v>
      </c>
      <c r="G585" s="2" t="s">
        <v>42</v>
      </c>
      <c r="H585" s="2" t="s">
        <v>34</v>
      </c>
      <c r="I585" s="2" t="s">
        <v>35</v>
      </c>
      <c r="J585" s="2" t="s">
        <v>36</v>
      </c>
      <c r="K585" s="2" t="s">
        <v>45</v>
      </c>
      <c r="L585" s="2" t="n">
        <v>0</v>
      </c>
      <c r="M585" s="2" t="str">
        <f aca="false">IF(L585="","",IF(L585=0,"Low",IF(L585=1,"Medium","High")))</f>
        <v>Low</v>
      </c>
    </row>
    <row r="586" customFormat="false" ht="15" hidden="false" customHeight="false" outlineLevel="0" collapsed="false">
      <c r="A586" s="2" t="s">
        <v>915</v>
      </c>
      <c r="B586" s="2" t="s">
        <v>914</v>
      </c>
      <c r="C586" s="2" t="s">
        <v>47</v>
      </c>
      <c r="D586" s="6" t="n">
        <v>46173</v>
      </c>
      <c r="E586" s="2" t="s">
        <v>31</v>
      </c>
      <c r="F586" s="2" t="s">
        <v>32</v>
      </c>
      <c r="G586" s="2" t="s">
        <v>33</v>
      </c>
      <c r="H586" s="2" t="s">
        <v>43</v>
      </c>
      <c r="I586" s="2" t="s">
        <v>35</v>
      </c>
      <c r="J586" s="2" t="s">
        <v>36</v>
      </c>
      <c r="K586" s="2" t="s">
        <v>45</v>
      </c>
      <c r="L586" s="2"/>
      <c r="M586" s="2" t="str">
        <f aca="false">IF(L586="","",IF(L586=0,"Low",IF(L586=1,"Medium","High")))</f>
        <v/>
      </c>
    </row>
    <row r="587" customFormat="false" ht="15" hidden="false" customHeight="false" outlineLevel="0" collapsed="false">
      <c r="A587" s="2" t="s">
        <v>916</v>
      </c>
      <c r="B587" s="2" t="s">
        <v>917</v>
      </c>
      <c r="C587" s="2" t="s">
        <v>39</v>
      </c>
      <c r="D587" s="6" t="n">
        <v>45808</v>
      </c>
      <c r="E587" s="2" t="s">
        <v>31</v>
      </c>
      <c r="F587" s="2" t="s">
        <v>32</v>
      </c>
      <c r="G587" s="2" t="s">
        <v>33</v>
      </c>
      <c r="H587" s="2" t="s">
        <v>34</v>
      </c>
      <c r="I587" s="2" t="s">
        <v>35</v>
      </c>
      <c r="J587" s="2" t="s">
        <v>36</v>
      </c>
      <c r="K587" s="2" t="s">
        <v>45</v>
      </c>
      <c r="L587" s="2"/>
      <c r="M587" s="2" t="str">
        <f aca="false">IF(L587="","",IF(L587=0,"Low",IF(L587=1,"Medium","High")))</f>
        <v/>
      </c>
    </row>
    <row r="588" customFormat="false" ht="15" hidden="false" customHeight="false" outlineLevel="0" collapsed="false">
      <c r="A588" s="2" t="s">
        <v>918</v>
      </c>
      <c r="B588" s="2" t="s">
        <v>919</v>
      </c>
      <c r="C588" s="2" t="s">
        <v>39</v>
      </c>
      <c r="D588" s="6" t="n">
        <v>45808</v>
      </c>
      <c r="E588" s="2" t="s">
        <v>64</v>
      </c>
      <c r="F588" s="2" t="s">
        <v>65</v>
      </c>
      <c r="G588" s="2" t="s">
        <v>65</v>
      </c>
      <c r="H588" s="2" t="s">
        <v>34</v>
      </c>
      <c r="I588" s="2" t="s">
        <v>35</v>
      </c>
      <c r="J588" s="2" t="s">
        <v>36</v>
      </c>
      <c r="K588" s="2" t="s">
        <v>67</v>
      </c>
      <c r="L588" s="2" t="n">
        <v>2</v>
      </c>
      <c r="M588" s="2" t="str">
        <f aca="false">IF(L588="","",IF(L588=0,"Low",IF(L588=1,"Medium","High")))</f>
        <v>High</v>
      </c>
    </row>
    <row r="589" customFormat="false" ht="15" hidden="false" customHeight="false" outlineLevel="0" collapsed="false">
      <c r="A589" s="2" t="s">
        <v>920</v>
      </c>
      <c r="B589" s="2" t="s">
        <v>919</v>
      </c>
      <c r="C589" s="2" t="s">
        <v>47</v>
      </c>
      <c r="D589" s="6" t="n">
        <v>46173</v>
      </c>
      <c r="E589" s="2" t="s">
        <v>60</v>
      </c>
      <c r="F589" s="2" t="s">
        <v>56</v>
      </c>
      <c r="G589" s="2" t="s">
        <v>48</v>
      </c>
      <c r="H589" s="2" t="s">
        <v>43</v>
      </c>
      <c r="I589" s="2" t="s">
        <v>35</v>
      </c>
      <c r="J589" s="2" t="s">
        <v>44</v>
      </c>
      <c r="K589" s="2" t="s">
        <v>37</v>
      </c>
      <c r="L589" s="2"/>
      <c r="M589" s="2" t="str">
        <f aca="false">IF(L589="","",IF(L589=0,"Low",IF(L589=1,"Medium","High")))</f>
        <v/>
      </c>
    </row>
    <row r="590" customFormat="false" ht="15" hidden="false" customHeight="false" outlineLevel="0" collapsed="false">
      <c r="A590" s="2" t="s">
        <v>921</v>
      </c>
      <c r="B590" s="2" t="s">
        <v>922</v>
      </c>
      <c r="C590" s="2" t="s">
        <v>39</v>
      </c>
      <c r="D590" s="6" t="n">
        <v>45808</v>
      </c>
      <c r="E590" s="2" t="s">
        <v>64</v>
      </c>
      <c r="F590" s="2" t="s">
        <v>65</v>
      </c>
      <c r="G590" s="2" t="s">
        <v>65</v>
      </c>
      <c r="H590" s="2" t="s">
        <v>34</v>
      </c>
      <c r="I590" s="2" t="s">
        <v>53</v>
      </c>
      <c r="J590" s="2" t="s">
        <v>36</v>
      </c>
      <c r="K590" s="2" t="s">
        <v>67</v>
      </c>
      <c r="L590" s="2" t="n">
        <v>0</v>
      </c>
      <c r="M590" s="2" t="str">
        <f aca="false">IF(L590="","",IF(L590=0,"Low",IF(L590=1,"Medium","High")))</f>
        <v>Low</v>
      </c>
    </row>
    <row r="591" customFormat="false" ht="15" hidden="false" customHeight="false" outlineLevel="0" collapsed="false">
      <c r="A591" s="2" t="s">
        <v>923</v>
      </c>
      <c r="B591" s="2" t="s">
        <v>922</v>
      </c>
      <c r="C591" s="2" t="s">
        <v>47</v>
      </c>
      <c r="D591" s="6" t="n">
        <v>46173</v>
      </c>
      <c r="E591" s="2" t="s">
        <v>64</v>
      </c>
      <c r="F591" s="2" t="s">
        <v>65</v>
      </c>
      <c r="G591" s="2" t="s">
        <v>65</v>
      </c>
      <c r="H591" s="2" t="s">
        <v>43</v>
      </c>
      <c r="I591" s="2" t="s">
        <v>53</v>
      </c>
      <c r="J591" s="2" t="s">
        <v>36</v>
      </c>
      <c r="K591" s="2" t="s">
        <v>67</v>
      </c>
      <c r="L591" s="2"/>
      <c r="M591" s="2" t="str">
        <f aca="false">IF(L591="","",IF(L591=0,"Low",IF(L591=1,"Medium","High")))</f>
        <v/>
      </c>
    </row>
    <row r="592" customFormat="false" ht="15" hidden="false" customHeight="false" outlineLevel="0" collapsed="false">
      <c r="A592" s="2" t="s">
        <v>924</v>
      </c>
      <c r="B592" s="2" t="s">
        <v>925</v>
      </c>
      <c r="C592" s="2" t="s">
        <v>39</v>
      </c>
      <c r="D592" s="6" t="n">
        <v>45808</v>
      </c>
      <c r="E592" s="2" t="s">
        <v>64</v>
      </c>
      <c r="F592" s="2" t="s">
        <v>65</v>
      </c>
      <c r="G592" s="2" t="s">
        <v>65</v>
      </c>
      <c r="H592" s="2" t="s">
        <v>34</v>
      </c>
      <c r="I592" s="2" t="s">
        <v>66</v>
      </c>
      <c r="J592" s="2" t="s">
        <v>36</v>
      </c>
      <c r="K592" s="2" t="s">
        <v>67</v>
      </c>
      <c r="L592" s="2" t="n">
        <v>3</v>
      </c>
      <c r="M592" s="2" t="str">
        <f aca="false">IF(L592="","",IF(L592=0,"Low",IF(L592=1,"Medium","High")))</f>
        <v>High</v>
      </c>
    </row>
    <row r="593" customFormat="false" ht="15" hidden="false" customHeight="false" outlineLevel="0" collapsed="false">
      <c r="A593" s="2" t="s">
        <v>926</v>
      </c>
      <c r="B593" s="2" t="s">
        <v>925</v>
      </c>
      <c r="C593" s="2" t="s">
        <v>47</v>
      </c>
      <c r="D593" s="6" t="n">
        <v>46173</v>
      </c>
      <c r="E593" s="2" t="s">
        <v>60</v>
      </c>
      <c r="F593" s="2" t="s">
        <v>41</v>
      </c>
      <c r="G593" s="2" t="s">
        <v>48</v>
      </c>
      <c r="H593" s="2" t="s">
        <v>43</v>
      </c>
      <c r="I593" s="2" t="s">
        <v>66</v>
      </c>
      <c r="J593" s="2" t="s">
        <v>44</v>
      </c>
      <c r="K593" s="2" t="s">
        <v>57</v>
      </c>
      <c r="L593" s="2"/>
      <c r="M593" s="2" t="str">
        <f aca="false">IF(L593="","",IF(L593=0,"Low",IF(L593=1,"Medium","High")))</f>
        <v/>
      </c>
    </row>
    <row r="594" customFormat="false" ht="15" hidden="false" customHeight="false" outlineLevel="0" collapsed="false">
      <c r="A594" s="2" t="s">
        <v>927</v>
      </c>
      <c r="B594" s="2" t="s">
        <v>928</v>
      </c>
      <c r="C594" s="2" t="s">
        <v>39</v>
      </c>
      <c r="D594" s="6" t="n">
        <v>45808</v>
      </c>
      <c r="E594" s="2" t="s">
        <v>60</v>
      </c>
      <c r="F594" s="2" t="s">
        <v>56</v>
      </c>
      <c r="G594" s="2" t="s">
        <v>48</v>
      </c>
      <c r="H594" s="2" t="s">
        <v>34</v>
      </c>
      <c r="I594" s="2" t="s">
        <v>35</v>
      </c>
      <c r="J594" s="2" t="s">
        <v>79</v>
      </c>
      <c r="K594" s="2" t="s">
        <v>37</v>
      </c>
      <c r="L594" s="2" t="n">
        <v>2</v>
      </c>
      <c r="M594" s="2" t="str">
        <f aca="false">IF(L594="","",IF(L594=0,"Low",IF(L594=1,"Medium","High")))</f>
        <v>High</v>
      </c>
    </row>
    <row r="595" customFormat="false" ht="15" hidden="false" customHeight="false" outlineLevel="0" collapsed="false">
      <c r="A595" s="2" t="s">
        <v>929</v>
      </c>
      <c r="B595" s="2" t="s">
        <v>928</v>
      </c>
      <c r="C595" s="2" t="s">
        <v>47</v>
      </c>
      <c r="D595" s="6" t="n">
        <v>46173</v>
      </c>
      <c r="E595" s="2" t="s">
        <v>40</v>
      </c>
      <c r="F595" s="2" t="s">
        <v>41</v>
      </c>
      <c r="G595" s="2" t="s">
        <v>33</v>
      </c>
      <c r="H595" s="2" t="s">
        <v>43</v>
      </c>
      <c r="I595" s="2" t="s">
        <v>35</v>
      </c>
      <c r="J595" s="2" t="s">
        <v>44</v>
      </c>
      <c r="K595" s="2" t="s">
        <v>57</v>
      </c>
      <c r="L595" s="2"/>
      <c r="M595" s="2" t="str">
        <f aca="false">IF(L595="","",IF(L595=0,"Low",IF(L595=1,"Medium","High")))</f>
        <v/>
      </c>
    </row>
    <row r="596" customFormat="false" ht="15" hidden="false" customHeight="false" outlineLevel="0" collapsed="false">
      <c r="A596" s="2" t="s">
        <v>930</v>
      </c>
      <c r="B596" s="2" t="s">
        <v>931</v>
      </c>
      <c r="C596" s="2" t="s">
        <v>39</v>
      </c>
      <c r="D596" s="6" t="n">
        <v>45808</v>
      </c>
      <c r="E596" s="2" t="s">
        <v>31</v>
      </c>
      <c r="F596" s="2" t="s">
        <v>32</v>
      </c>
      <c r="G596" s="2" t="s">
        <v>42</v>
      </c>
      <c r="H596" s="2" t="s">
        <v>34</v>
      </c>
      <c r="I596" s="2" t="s">
        <v>35</v>
      </c>
      <c r="J596" s="2" t="s">
        <v>36</v>
      </c>
      <c r="K596" s="2" t="s">
        <v>45</v>
      </c>
      <c r="L596" s="2" t="n">
        <v>1</v>
      </c>
      <c r="M596" s="2" t="str">
        <f aca="false">IF(L596="","",IF(L596=0,"Low",IF(L596=1,"Medium","High")))</f>
        <v>Medium</v>
      </c>
    </row>
    <row r="597" customFormat="false" ht="15" hidden="false" customHeight="false" outlineLevel="0" collapsed="false">
      <c r="A597" s="2" t="s">
        <v>932</v>
      </c>
      <c r="B597" s="2" t="s">
        <v>931</v>
      </c>
      <c r="C597" s="2" t="s">
        <v>47</v>
      </c>
      <c r="D597" s="6" t="n">
        <v>46173</v>
      </c>
      <c r="E597" s="2" t="s">
        <v>60</v>
      </c>
      <c r="F597" s="2" t="s">
        <v>41</v>
      </c>
      <c r="G597" s="2" t="s">
        <v>33</v>
      </c>
      <c r="H597" s="2" t="s">
        <v>43</v>
      </c>
      <c r="I597" s="2" t="s">
        <v>35</v>
      </c>
      <c r="J597" s="2" t="s">
        <v>44</v>
      </c>
      <c r="K597" s="2" t="s">
        <v>37</v>
      </c>
      <c r="L597" s="2"/>
      <c r="M597" s="2" t="str">
        <f aca="false">IF(L597="","",IF(L597=0,"Low",IF(L597=1,"Medium","High")))</f>
        <v/>
      </c>
    </row>
    <row r="598" customFormat="false" ht="15" hidden="false" customHeight="false" outlineLevel="0" collapsed="false">
      <c r="A598" s="2" t="s">
        <v>933</v>
      </c>
      <c r="B598" s="2" t="s">
        <v>934</v>
      </c>
      <c r="C598" s="2" t="s">
        <v>39</v>
      </c>
      <c r="D598" s="6" t="n">
        <v>45808</v>
      </c>
      <c r="E598" s="2" t="s">
        <v>64</v>
      </c>
      <c r="F598" s="2" t="s">
        <v>65</v>
      </c>
      <c r="G598" s="2" t="s">
        <v>65</v>
      </c>
      <c r="H598" s="2" t="s">
        <v>34</v>
      </c>
      <c r="I598" s="2" t="s">
        <v>53</v>
      </c>
      <c r="J598" s="2" t="s">
        <v>36</v>
      </c>
      <c r="K598" s="2" t="s">
        <v>67</v>
      </c>
      <c r="L598" s="2" t="n">
        <v>0</v>
      </c>
      <c r="M598" s="2" t="str">
        <f aca="false">IF(L598="","",IF(L598=0,"Low",IF(L598=1,"Medium","High")))</f>
        <v>Low</v>
      </c>
    </row>
    <row r="599" customFormat="false" ht="15" hidden="false" customHeight="false" outlineLevel="0" collapsed="false">
      <c r="A599" s="2" t="s">
        <v>935</v>
      </c>
      <c r="B599" s="2" t="s">
        <v>934</v>
      </c>
      <c r="C599" s="2" t="s">
        <v>47</v>
      </c>
      <c r="D599" s="6" t="n">
        <v>46173</v>
      </c>
      <c r="E599" s="2" t="s">
        <v>64</v>
      </c>
      <c r="F599" s="2" t="s">
        <v>65</v>
      </c>
      <c r="G599" s="2" t="s">
        <v>65</v>
      </c>
      <c r="H599" s="2" t="s">
        <v>43</v>
      </c>
      <c r="I599" s="2" t="s">
        <v>53</v>
      </c>
      <c r="J599" s="2" t="s">
        <v>36</v>
      </c>
      <c r="K599" s="2" t="s">
        <v>67</v>
      </c>
      <c r="L599" s="2"/>
      <c r="M599" s="2" t="str">
        <f aca="false">IF(L599="","",IF(L599=0,"Low",IF(L599=1,"Medium","High")))</f>
        <v/>
      </c>
    </row>
    <row r="600" customFormat="false" ht="15" hidden="false" customHeight="false" outlineLevel="0" collapsed="false">
      <c r="A600" s="2" t="s">
        <v>936</v>
      </c>
      <c r="B600" s="2" t="s">
        <v>937</v>
      </c>
      <c r="C600" s="2" t="s">
        <v>39</v>
      </c>
      <c r="D600" s="6" t="n">
        <v>45808</v>
      </c>
      <c r="E600" s="2" t="s">
        <v>60</v>
      </c>
      <c r="F600" s="2" t="s">
        <v>32</v>
      </c>
      <c r="G600" s="2" t="s">
        <v>48</v>
      </c>
      <c r="H600" s="2" t="s">
        <v>34</v>
      </c>
      <c r="I600" s="2" t="s">
        <v>86</v>
      </c>
      <c r="J600" s="2" t="s">
        <v>44</v>
      </c>
      <c r="K600" s="2" t="s">
        <v>37</v>
      </c>
      <c r="L600" s="2" t="n">
        <v>3</v>
      </c>
      <c r="M600" s="2" t="str">
        <f aca="false">IF(L600="","",IF(L600=0,"Low",IF(L600=1,"Medium","High")))</f>
        <v>High</v>
      </c>
    </row>
    <row r="601" customFormat="false" ht="15" hidden="false" customHeight="false" outlineLevel="0" collapsed="false">
      <c r="A601" s="2" t="s">
        <v>938</v>
      </c>
      <c r="B601" s="2" t="s">
        <v>937</v>
      </c>
      <c r="C601" s="2" t="s">
        <v>47</v>
      </c>
      <c r="D601" s="6" t="n">
        <v>46173</v>
      </c>
      <c r="E601" s="2" t="s">
        <v>40</v>
      </c>
      <c r="F601" s="2" t="s">
        <v>41</v>
      </c>
      <c r="G601" s="2" t="s">
        <v>42</v>
      </c>
      <c r="H601" s="2" t="s">
        <v>43</v>
      </c>
      <c r="I601" s="2" t="s">
        <v>86</v>
      </c>
      <c r="J601" s="2" t="s">
        <v>44</v>
      </c>
      <c r="K601" s="2" t="s">
        <v>45</v>
      </c>
      <c r="L601" s="2"/>
      <c r="M601" s="2" t="str">
        <f aca="false">IF(L601="","",IF(L601=0,"Low",IF(L601=1,"Medium","High")))</f>
        <v/>
      </c>
    </row>
    <row r="602" customFormat="false" ht="15" hidden="false" customHeight="false" outlineLevel="0" collapsed="false">
      <c r="A602" s="2" t="s">
        <v>939</v>
      </c>
      <c r="B602" s="2" t="s">
        <v>940</v>
      </c>
      <c r="C602" s="2" t="s">
        <v>47</v>
      </c>
      <c r="D602" s="6" t="n">
        <v>46173</v>
      </c>
      <c r="E602" s="2" t="s">
        <v>64</v>
      </c>
      <c r="F602" s="2" t="s">
        <v>65</v>
      </c>
      <c r="G602" s="2" t="s">
        <v>65</v>
      </c>
      <c r="H602" s="2" t="s">
        <v>34</v>
      </c>
      <c r="I602" s="2" t="s">
        <v>35</v>
      </c>
      <c r="J602" s="2" t="s">
        <v>36</v>
      </c>
      <c r="K602" s="2" t="s">
        <v>67</v>
      </c>
      <c r="L602" s="2"/>
      <c r="M602" s="2" t="str">
        <f aca="false">IF(L602="","",IF(L602=0,"Low",IF(L602=1,"Medium","High")))</f>
        <v/>
      </c>
    </row>
    <row r="603" customFormat="false" ht="15" hidden="false" customHeight="false" outlineLevel="0" collapsed="false">
      <c r="A603" s="2" t="s">
        <v>941</v>
      </c>
      <c r="B603" s="2" t="s">
        <v>942</v>
      </c>
      <c r="C603" s="2" t="s">
        <v>47</v>
      </c>
      <c r="D603" s="6" t="n">
        <v>46173</v>
      </c>
      <c r="E603" s="2" t="s">
        <v>60</v>
      </c>
      <c r="F603" s="2" t="s">
        <v>41</v>
      </c>
      <c r="G603" s="2" t="s">
        <v>110</v>
      </c>
      <c r="H603" s="2" t="s">
        <v>34</v>
      </c>
      <c r="I603" s="2" t="s">
        <v>86</v>
      </c>
      <c r="J603" s="2" t="s">
        <v>228</v>
      </c>
      <c r="K603" s="2" t="s">
        <v>45</v>
      </c>
      <c r="L603" s="2"/>
      <c r="M603" s="2" t="str">
        <f aca="false">IF(L603="","",IF(L603=0,"Low",IF(L603=1,"Medium","High")))</f>
        <v/>
      </c>
    </row>
    <row r="604" customFormat="false" ht="15" hidden="false" customHeight="false" outlineLevel="0" collapsed="false">
      <c r="A604" s="2" t="s">
        <v>943</v>
      </c>
      <c r="B604" s="2" t="s">
        <v>944</v>
      </c>
      <c r="C604" s="2" t="s">
        <v>47</v>
      </c>
      <c r="D604" s="6" t="n">
        <v>46173</v>
      </c>
      <c r="E604" s="2" t="s">
        <v>60</v>
      </c>
      <c r="F604" s="2" t="s">
        <v>32</v>
      </c>
      <c r="G604" s="2" t="s">
        <v>48</v>
      </c>
      <c r="H604" s="2" t="s">
        <v>34</v>
      </c>
      <c r="I604" s="2" t="s">
        <v>53</v>
      </c>
      <c r="J604" s="2" t="s">
        <v>44</v>
      </c>
      <c r="K604" s="2" t="s">
        <v>37</v>
      </c>
      <c r="L604" s="2"/>
      <c r="M604" s="2" t="str">
        <f aca="false">IF(L604="","",IF(L604=0,"Low",IF(L604=1,"Medium","High")))</f>
        <v/>
      </c>
    </row>
    <row r="605" customFormat="false" ht="15" hidden="false" customHeight="false" outlineLevel="0" collapsed="false">
      <c r="A605" s="2" t="s">
        <v>945</v>
      </c>
      <c r="B605" s="2" t="s">
        <v>946</v>
      </c>
      <c r="C605" s="2" t="s">
        <v>47</v>
      </c>
      <c r="D605" s="6" t="n">
        <v>46173</v>
      </c>
      <c r="E605" s="2" t="s">
        <v>31</v>
      </c>
      <c r="F605" s="2" t="s">
        <v>32</v>
      </c>
      <c r="G605" s="2" t="s">
        <v>42</v>
      </c>
      <c r="H605" s="2" t="s">
        <v>34</v>
      </c>
      <c r="I605" s="2" t="s">
        <v>53</v>
      </c>
      <c r="J605" s="2" t="s">
        <v>36</v>
      </c>
      <c r="K605" s="2" t="s">
        <v>67</v>
      </c>
      <c r="L605" s="2"/>
      <c r="M605" s="2" t="str">
        <f aca="false">IF(L605="","",IF(L605=0,"Low",IF(L605=1,"Medium","High")))</f>
        <v/>
      </c>
    </row>
    <row r="606" customFormat="false" ht="15" hidden="false" customHeight="false" outlineLevel="0" collapsed="false">
      <c r="A606" s="2" t="s">
        <v>947</v>
      </c>
      <c r="B606" s="2" t="s">
        <v>948</v>
      </c>
      <c r="C606" s="2" t="s">
        <v>47</v>
      </c>
      <c r="D606" s="6" t="n">
        <v>46173</v>
      </c>
      <c r="E606" s="2" t="s">
        <v>64</v>
      </c>
      <c r="F606" s="2" t="s">
        <v>65</v>
      </c>
      <c r="G606" s="2" t="s">
        <v>65</v>
      </c>
      <c r="H606" s="2" t="s">
        <v>34</v>
      </c>
      <c r="I606" s="2" t="s">
        <v>35</v>
      </c>
      <c r="J606" s="2" t="s">
        <v>36</v>
      </c>
      <c r="K606" s="2" t="s">
        <v>67</v>
      </c>
      <c r="L606" s="2"/>
      <c r="M606" s="2" t="str">
        <f aca="false">IF(L606="","",IF(L606=0,"Low",IF(L606=1,"Medium","High")))</f>
        <v/>
      </c>
    </row>
    <row r="607" customFormat="false" ht="15" hidden="false" customHeight="false" outlineLevel="0" collapsed="false">
      <c r="A607" s="2" t="s">
        <v>949</v>
      </c>
      <c r="B607" s="2" t="s">
        <v>950</v>
      </c>
      <c r="C607" s="2" t="s">
        <v>47</v>
      </c>
      <c r="D607" s="6" t="n">
        <v>46173</v>
      </c>
      <c r="E607" s="2" t="s">
        <v>64</v>
      </c>
      <c r="F607" s="2" t="s">
        <v>65</v>
      </c>
      <c r="G607" s="2" t="s">
        <v>65</v>
      </c>
      <c r="H607" s="2" t="s">
        <v>34</v>
      </c>
      <c r="I607" s="2" t="s">
        <v>35</v>
      </c>
      <c r="J607" s="2" t="s">
        <v>36</v>
      </c>
      <c r="K607" s="2" t="s">
        <v>67</v>
      </c>
      <c r="L607" s="2"/>
      <c r="M607" s="2" t="str">
        <f aca="false">IF(L607="","",IF(L607=0,"Low",IF(L607=1,"Medium","High")))</f>
        <v/>
      </c>
    </row>
    <row r="608" customFormat="false" ht="15" hidden="false" customHeight="false" outlineLevel="0" collapsed="false">
      <c r="A608" s="2" t="s">
        <v>951</v>
      </c>
      <c r="B608" s="2" t="s">
        <v>952</v>
      </c>
      <c r="C608" s="2" t="s">
        <v>47</v>
      </c>
      <c r="D608" s="6" t="n">
        <v>46173</v>
      </c>
      <c r="E608" s="2" t="s">
        <v>60</v>
      </c>
      <c r="F608" s="2" t="s">
        <v>56</v>
      </c>
      <c r="G608" s="2" t="s">
        <v>42</v>
      </c>
      <c r="H608" s="2" t="s">
        <v>34</v>
      </c>
      <c r="I608" s="2" t="s">
        <v>35</v>
      </c>
      <c r="J608" s="2" t="s">
        <v>44</v>
      </c>
      <c r="K608" s="2" t="s">
        <v>45</v>
      </c>
      <c r="L608" s="2"/>
      <c r="M608" s="2" t="str">
        <f aca="false">IF(L608="","",IF(L608=0,"Low",IF(L608=1,"Medium","High")))</f>
        <v/>
      </c>
    </row>
    <row r="609" customFormat="false" ht="15" hidden="false" customHeight="false" outlineLevel="0" collapsed="false">
      <c r="A609" s="2" t="s">
        <v>953</v>
      </c>
      <c r="B609" s="2" t="s">
        <v>954</v>
      </c>
      <c r="C609" s="2" t="s">
        <v>47</v>
      </c>
      <c r="D609" s="6" t="n">
        <v>46173</v>
      </c>
      <c r="E609" s="2" t="s">
        <v>31</v>
      </c>
      <c r="F609" s="2" t="s">
        <v>32</v>
      </c>
      <c r="G609" s="2" t="s">
        <v>42</v>
      </c>
      <c r="H609" s="2" t="s">
        <v>34</v>
      </c>
      <c r="I609" s="2" t="s">
        <v>66</v>
      </c>
      <c r="J609" s="2" t="s">
        <v>36</v>
      </c>
      <c r="K609" s="2" t="s">
        <v>57</v>
      </c>
      <c r="L609" s="2"/>
      <c r="M609" s="2" t="str">
        <f aca="false">IF(L609="","",IF(L609=0,"Low",IF(L609=1,"Medium","High")))</f>
        <v/>
      </c>
    </row>
    <row r="610" customFormat="false" ht="15" hidden="false" customHeight="false" outlineLevel="0" collapsed="false">
      <c r="A610" s="2" t="s">
        <v>955</v>
      </c>
      <c r="B610" s="2" t="s">
        <v>956</v>
      </c>
      <c r="C610" s="2" t="s">
        <v>47</v>
      </c>
      <c r="D610" s="6" t="n">
        <v>46173</v>
      </c>
      <c r="E610" s="2" t="s">
        <v>60</v>
      </c>
      <c r="F610" s="2" t="s">
        <v>32</v>
      </c>
      <c r="G610" s="2" t="s">
        <v>42</v>
      </c>
      <c r="H610" s="2" t="s">
        <v>34</v>
      </c>
      <c r="I610" s="2" t="s">
        <v>66</v>
      </c>
      <c r="J610" s="2" t="s">
        <v>44</v>
      </c>
      <c r="K610" s="2" t="s">
        <v>45</v>
      </c>
      <c r="L610" s="2"/>
      <c r="M610" s="2" t="str">
        <f aca="false">IF(L610="","",IF(L610=0,"Low",IF(L610=1,"Medium","High")))</f>
        <v/>
      </c>
    </row>
    <row r="611" customFormat="false" ht="15" hidden="false" customHeight="false" outlineLevel="0" collapsed="false">
      <c r="A611" s="2" t="s">
        <v>957</v>
      </c>
      <c r="B611" s="2" t="s">
        <v>958</v>
      </c>
      <c r="C611" s="2" t="s">
        <v>47</v>
      </c>
      <c r="D611" s="6" t="n">
        <v>46173</v>
      </c>
      <c r="E611" s="2" t="s">
        <v>64</v>
      </c>
      <c r="F611" s="2" t="s">
        <v>65</v>
      </c>
      <c r="G611" s="2" t="s">
        <v>65</v>
      </c>
      <c r="H611" s="2" t="s">
        <v>34</v>
      </c>
      <c r="I611" s="2" t="s">
        <v>86</v>
      </c>
      <c r="J611" s="2" t="s">
        <v>36</v>
      </c>
      <c r="K611" s="2" t="s">
        <v>67</v>
      </c>
      <c r="L611" s="2"/>
      <c r="M611" s="2" t="str">
        <f aca="false">IF(L611="","",IF(L611=0,"Low",IF(L611=1,"Medium","High")))</f>
        <v/>
      </c>
    </row>
    <row r="612" customFormat="false" ht="15" hidden="false" customHeight="false" outlineLevel="0" collapsed="false">
      <c r="A612" s="2" t="s">
        <v>959</v>
      </c>
      <c r="B612" s="2" t="s">
        <v>960</v>
      </c>
      <c r="C612" s="2" t="s">
        <v>47</v>
      </c>
      <c r="D612" s="6" t="n">
        <v>46173</v>
      </c>
      <c r="E612" s="2" t="s">
        <v>64</v>
      </c>
      <c r="F612" s="2" t="s">
        <v>65</v>
      </c>
      <c r="G612" s="2" t="s">
        <v>65</v>
      </c>
      <c r="H612" s="2" t="s">
        <v>34</v>
      </c>
      <c r="I612" s="2" t="s">
        <v>53</v>
      </c>
      <c r="J612" s="2" t="s">
        <v>36</v>
      </c>
      <c r="K612" s="2" t="s">
        <v>67</v>
      </c>
      <c r="L612" s="2"/>
      <c r="M612" s="2" t="str">
        <f aca="false">IF(L612="","",IF(L612=0,"Low",IF(L612=1,"Medium","High")))</f>
        <v/>
      </c>
    </row>
    <row r="613" customFormat="false" ht="15" hidden="false" customHeight="false" outlineLevel="0" collapsed="false">
      <c r="A613" s="2" t="s">
        <v>961</v>
      </c>
      <c r="B613" s="2" t="s">
        <v>962</v>
      </c>
      <c r="C613" s="2" t="s">
        <v>47</v>
      </c>
      <c r="D613" s="6" t="n">
        <v>46173</v>
      </c>
      <c r="E613" s="2" t="s">
        <v>31</v>
      </c>
      <c r="F613" s="2" t="s">
        <v>32</v>
      </c>
      <c r="G613" s="2" t="s">
        <v>33</v>
      </c>
      <c r="H613" s="2" t="s">
        <v>34</v>
      </c>
      <c r="I613" s="2" t="s">
        <v>86</v>
      </c>
      <c r="J613" s="2" t="s">
        <v>36</v>
      </c>
      <c r="K613" s="2" t="s">
        <v>67</v>
      </c>
      <c r="L613" s="2"/>
      <c r="M613" s="2" t="str">
        <f aca="false">IF(L613="","",IF(L613=0,"Low",IF(L613=1,"Medium","High")))</f>
        <v/>
      </c>
    </row>
    <row r="614" customFormat="false" ht="15" hidden="false" customHeight="false" outlineLevel="0" collapsed="false">
      <c r="A614" s="2" t="s">
        <v>963</v>
      </c>
      <c r="B614" s="2" t="s">
        <v>964</v>
      </c>
      <c r="C614" s="2" t="s">
        <v>47</v>
      </c>
      <c r="D614" s="6" t="n">
        <v>46173</v>
      </c>
      <c r="E614" s="2" t="s">
        <v>60</v>
      </c>
      <c r="F614" s="2" t="s">
        <v>41</v>
      </c>
      <c r="G614" s="2" t="s">
        <v>48</v>
      </c>
      <c r="H614" s="2" t="s">
        <v>34</v>
      </c>
      <c r="I614" s="2" t="s">
        <v>53</v>
      </c>
      <c r="J614" s="2" t="s">
        <v>79</v>
      </c>
      <c r="K614" s="2" t="s">
        <v>57</v>
      </c>
      <c r="L614" s="2"/>
      <c r="M614" s="2" t="str">
        <f aca="false">IF(L614="","",IF(L614=0,"Low",IF(L614=1,"Medium","High")))</f>
        <v/>
      </c>
    </row>
    <row r="615" customFormat="false" ht="15" hidden="false" customHeight="false" outlineLevel="0" collapsed="false">
      <c r="A615" s="2" t="s">
        <v>965</v>
      </c>
      <c r="B615" s="2" t="s">
        <v>966</v>
      </c>
      <c r="C615" s="2" t="s">
        <v>47</v>
      </c>
      <c r="D615" s="6" t="n">
        <v>46173</v>
      </c>
      <c r="E615" s="2" t="s">
        <v>64</v>
      </c>
      <c r="F615" s="2" t="s">
        <v>65</v>
      </c>
      <c r="G615" s="2" t="s">
        <v>65</v>
      </c>
      <c r="H615" s="2" t="s">
        <v>34</v>
      </c>
      <c r="I615" s="2" t="s">
        <v>35</v>
      </c>
      <c r="J615" s="2" t="s">
        <v>36</v>
      </c>
      <c r="K615" s="2" t="s">
        <v>67</v>
      </c>
      <c r="L615" s="2"/>
      <c r="M615" s="2" t="str">
        <f aca="false">IF(L615="","",IF(L615=0,"Low",IF(L615=1,"Medium","High")))</f>
        <v/>
      </c>
    </row>
    <row r="616" customFormat="false" ht="15" hidden="false" customHeight="false" outlineLevel="0" collapsed="false">
      <c r="A616" s="2" t="s">
        <v>967</v>
      </c>
      <c r="B616" s="2" t="s">
        <v>968</v>
      </c>
      <c r="C616" s="2" t="s">
        <v>47</v>
      </c>
      <c r="D616" s="6" t="n">
        <v>46173</v>
      </c>
      <c r="E616" s="2" t="s">
        <v>64</v>
      </c>
      <c r="F616" s="2" t="s">
        <v>65</v>
      </c>
      <c r="G616" s="2" t="s">
        <v>65</v>
      </c>
      <c r="H616" s="2" t="s">
        <v>34</v>
      </c>
      <c r="I616" s="2" t="s">
        <v>86</v>
      </c>
      <c r="J616" s="2" t="s">
        <v>36</v>
      </c>
      <c r="K616" s="2" t="s">
        <v>67</v>
      </c>
      <c r="L616" s="2"/>
      <c r="M616" s="2" t="str">
        <f aca="false">IF(L616="","",IF(L616=0,"Low",IF(L616=1,"Medium","High")))</f>
        <v/>
      </c>
    </row>
    <row r="617" customFormat="false" ht="15" hidden="false" customHeight="false" outlineLevel="0" collapsed="false">
      <c r="A617" s="2" t="s">
        <v>969</v>
      </c>
      <c r="B617" s="2" t="s">
        <v>970</v>
      </c>
      <c r="C617" s="2" t="s">
        <v>47</v>
      </c>
      <c r="D617" s="6" t="n">
        <v>46173</v>
      </c>
      <c r="E617" s="2" t="s">
        <v>31</v>
      </c>
      <c r="F617" s="2" t="s">
        <v>32</v>
      </c>
      <c r="G617" s="2" t="s">
        <v>42</v>
      </c>
      <c r="H617" s="2" t="s">
        <v>34</v>
      </c>
      <c r="I617" s="2" t="s">
        <v>53</v>
      </c>
      <c r="J617" s="2" t="s">
        <v>36</v>
      </c>
      <c r="K617" s="2" t="s">
        <v>45</v>
      </c>
      <c r="L617" s="2"/>
      <c r="M617" s="2" t="str">
        <f aca="false">IF(L617="","",IF(L617=0,"Low",IF(L617=1,"Medium","High")))</f>
        <v/>
      </c>
    </row>
    <row r="618" customFormat="false" ht="15" hidden="false" customHeight="false" outlineLevel="0" collapsed="false">
      <c r="A618" s="2" t="s">
        <v>971</v>
      </c>
      <c r="B618" s="2" t="s">
        <v>972</v>
      </c>
      <c r="C618" s="2" t="s">
        <v>47</v>
      </c>
      <c r="D618" s="6" t="n">
        <v>46173</v>
      </c>
      <c r="E618" s="2" t="s">
        <v>64</v>
      </c>
      <c r="F618" s="2" t="s">
        <v>65</v>
      </c>
      <c r="G618" s="2" t="s">
        <v>65</v>
      </c>
      <c r="H618" s="2" t="s">
        <v>34</v>
      </c>
      <c r="I618" s="2" t="s">
        <v>86</v>
      </c>
      <c r="J618" s="2" t="s">
        <v>36</v>
      </c>
      <c r="K618" s="2" t="s">
        <v>67</v>
      </c>
      <c r="L618" s="2"/>
      <c r="M618" s="2" t="str">
        <f aca="false">IF(L618="","",IF(L618=0,"Low",IF(L618=1,"Medium","High")))</f>
        <v/>
      </c>
    </row>
    <row r="619" customFormat="false" ht="15" hidden="false" customHeight="false" outlineLevel="0" collapsed="false">
      <c r="A619" s="2" t="s">
        <v>973</v>
      </c>
      <c r="B619" s="2" t="s">
        <v>974</v>
      </c>
      <c r="C619" s="2" t="s">
        <v>47</v>
      </c>
      <c r="D619" s="6" t="n">
        <v>46173</v>
      </c>
      <c r="E619" s="2" t="s">
        <v>60</v>
      </c>
      <c r="F619" s="2" t="s">
        <v>56</v>
      </c>
      <c r="G619" s="2" t="s">
        <v>48</v>
      </c>
      <c r="H619" s="2" t="s">
        <v>34</v>
      </c>
      <c r="I619" s="2" t="s">
        <v>86</v>
      </c>
      <c r="J619" s="2" t="s">
        <v>79</v>
      </c>
      <c r="K619" s="2" t="s">
        <v>57</v>
      </c>
      <c r="L619" s="2"/>
      <c r="M619" s="2" t="str">
        <f aca="false">IF(L619="","",IF(L619=0,"Low",IF(L619=1,"Medium","High")))</f>
        <v/>
      </c>
    </row>
    <row r="620" customFormat="false" ht="15" hidden="false" customHeight="false" outlineLevel="0" collapsed="false">
      <c r="A620" s="2" t="s">
        <v>975</v>
      </c>
      <c r="B620" s="2" t="s">
        <v>976</v>
      </c>
      <c r="C620" s="2" t="s">
        <v>47</v>
      </c>
      <c r="D620" s="6" t="n">
        <v>46173</v>
      </c>
      <c r="E620" s="2" t="s">
        <v>64</v>
      </c>
      <c r="F620" s="2" t="s">
        <v>65</v>
      </c>
      <c r="G620" s="2" t="s">
        <v>65</v>
      </c>
      <c r="H620" s="2" t="s">
        <v>34</v>
      </c>
      <c r="I620" s="2" t="s">
        <v>86</v>
      </c>
      <c r="J620" s="2" t="s">
        <v>36</v>
      </c>
      <c r="K620" s="2" t="s">
        <v>67</v>
      </c>
      <c r="L620" s="2"/>
      <c r="M620" s="2" t="str">
        <f aca="false">IF(L620="","",IF(L620=0,"Low",IF(L620=1,"Medium","High")))</f>
        <v/>
      </c>
    </row>
    <row r="621" customFormat="false" ht="15" hidden="false" customHeight="false" outlineLevel="0" collapsed="false">
      <c r="A621" s="2" t="s">
        <v>977</v>
      </c>
      <c r="B621" s="2" t="s">
        <v>978</v>
      </c>
      <c r="C621" s="2" t="s">
        <v>47</v>
      </c>
      <c r="D621" s="6" t="n">
        <v>46173</v>
      </c>
      <c r="E621" s="2" t="s">
        <v>64</v>
      </c>
      <c r="F621" s="2" t="s">
        <v>65</v>
      </c>
      <c r="G621" s="2" t="s">
        <v>65</v>
      </c>
      <c r="H621" s="2" t="s">
        <v>34</v>
      </c>
      <c r="I621" s="2" t="s">
        <v>86</v>
      </c>
      <c r="J621" s="2" t="s">
        <v>36</v>
      </c>
      <c r="K621" s="2" t="s">
        <v>67</v>
      </c>
      <c r="L621" s="2"/>
      <c r="M621" s="2" t="str">
        <f aca="false">IF(L621="","",IF(L621=0,"Low",IF(L621=1,"Medium","High")))</f>
        <v/>
      </c>
    </row>
    <row r="622" customFormat="false" ht="15" hidden="false" customHeight="false" outlineLevel="0" collapsed="false">
      <c r="A622" s="2" t="s">
        <v>979</v>
      </c>
      <c r="B622" s="2" t="s">
        <v>980</v>
      </c>
      <c r="C622" s="2" t="s">
        <v>47</v>
      </c>
      <c r="D622" s="6" t="n">
        <v>46173</v>
      </c>
      <c r="E622" s="2" t="s">
        <v>64</v>
      </c>
      <c r="F622" s="2" t="s">
        <v>65</v>
      </c>
      <c r="G622" s="2" t="s">
        <v>65</v>
      </c>
      <c r="H622" s="2" t="s">
        <v>34</v>
      </c>
      <c r="I622" s="2" t="s">
        <v>53</v>
      </c>
      <c r="J622" s="2" t="s">
        <v>36</v>
      </c>
      <c r="K622" s="2" t="s">
        <v>67</v>
      </c>
      <c r="L622" s="2"/>
      <c r="M622" s="2" t="str">
        <f aca="false">IF(L622="","",IF(L622=0,"Low",IF(L622=1,"Medium","High")))</f>
        <v/>
      </c>
    </row>
    <row r="623" customFormat="false" ht="15" hidden="false" customHeight="false" outlineLevel="0" collapsed="false">
      <c r="A623" s="2" t="s">
        <v>981</v>
      </c>
      <c r="B623" s="2" t="s">
        <v>982</v>
      </c>
      <c r="C623" s="2" t="s">
        <v>47</v>
      </c>
      <c r="D623" s="6" t="n">
        <v>46173</v>
      </c>
      <c r="E623" s="2" t="s">
        <v>64</v>
      </c>
      <c r="F623" s="2" t="s">
        <v>65</v>
      </c>
      <c r="G623" s="2" t="s">
        <v>65</v>
      </c>
      <c r="H623" s="2" t="s">
        <v>34</v>
      </c>
      <c r="I623" s="2" t="s">
        <v>53</v>
      </c>
      <c r="J623" s="2" t="s">
        <v>36</v>
      </c>
      <c r="K623" s="2" t="s">
        <v>67</v>
      </c>
      <c r="L623" s="2"/>
      <c r="M623" s="2" t="str">
        <f aca="false">IF(L623="","",IF(L623=0,"Low",IF(L623=1,"Medium","High")))</f>
        <v/>
      </c>
    </row>
    <row r="624" customFormat="false" ht="15" hidden="false" customHeight="false" outlineLevel="0" collapsed="false">
      <c r="A624" s="2" t="s">
        <v>983</v>
      </c>
      <c r="B624" s="2" t="s">
        <v>984</v>
      </c>
      <c r="C624" s="2" t="s">
        <v>47</v>
      </c>
      <c r="D624" s="6" t="n">
        <v>46173</v>
      </c>
      <c r="E624" s="2" t="s">
        <v>64</v>
      </c>
      <c r="F624" s="2" t="s">
        <v>65</v>
      </c>
      <c r="G624" s="2" t="s">
        <v>65</v>
      </c>
      <c r="H624" s="2" t="s">
        <v>34</v>
      </c>
      <c r="I624" s="2" t="s">
        <v>66</v>
      </c>
      <c r="J624" s="2" t="s">
        <v>36</v>
      </c>
      <c r="K624" s="2" t="s">
        <v>67</v>
      </c>
      <c r="L624" s="2"/>
      <c r="M624" s="2" t="str">
        <f aca="false">IF(L624="","",IF(L624=0,"Low",IF(L624=1,"Medium","High")))</f>
        <v/>
      </c>
    </row>
    <row r="625" customFormat="false" ht="15" hidden="false" customHeight="false" outlineLevel="0" collapsed="false">
      <c r="A625" s="2" t="s">
        <v>985</v>
      </c>
      <c r="B625" s="2" t="s">
        <v>986</v>
      </c>
      <c r="C625" s="2" t="s">
        <v>47</v>
      </c>
      <c r="D625" s="6" t="n">
        <v>46173</v>
      </c>
      <c r="E625" s="2" t="s">
        <v>64</v>
      </c>
      <c r="F625" s="2" t="s">
        <v>65</v>
      </c>
      <c r="G625" s="2" t="s">
        <v>65</v>
      </c>
      <c r="H625" s="2" t="s">
        <v>34</v>
      </c>
      <c r="I625" s="2" t="s">
        <v>35</v>
      </c>
      <c r="J625" s="2" t="s">
        <v>36</v>
      </c>
      <c r="K625" s="2" t="s">
        <v>67</v>
      </c>
      <c r="L625" s="2"/>
      <c r="M625" s="2" t="str">
        <f aca="false">IF(L625="","",IF(L625=0,"Low",IF(L625=1,"Medium","High")))</f>
        <v/>
      </c>
    </row>
    <row r="626" customFormat="false" ht="15" hidden="false" customHeight="false" outlineLevel="0" collapsed="false">
      <c r="A626" s="2" t="s">
        <v>987</v>
      </c>
      <c r="B626" s="2" t="s">
        <v>988</v>
      </c>
      <c r="C626" s="2" t="s">
        <v>47</v>
      </c>
      <c r="D626" s="6" t="n">
        <v>46173</v>
      </c>
      <c r="E626" s="2" t="s">
        <v>60</v>
      </c>
      <c r="F626" s="2" t="s">
        <v>41</v>
      </c>
      <c r="G626" s="2" t="s">
        <v>42</v>
      </c>
      <c r="H626" s="2" t="s">
        <v>34</v>
      </c>
      <c r="I626" s="2" t="s">
        <v>53</v>
      </c>
      <c r="J626" s="2" t="s">
        <v>44</v>
      </c>
      <c r="K626" s="2" t="s">
        <v>37</v>
      </c>
      <c r="L626" s="2"/>
      <c r="M626" s="2" t="str">
        <f aca="false">IF(L626="","",IF(L626=0,"Low",IF(L626=1,"Medium","High")))</f>
        <v/>
      </c>
    </row>
    <row r="627" customFormat="false" ht="15" hidden="false" customHeight="false" outlineLevel="0" collapsed="false">
      <c r="A627" s="2" t="s">
        <v>989</v>
      </c>
      <c r="B627" s="2" t="s">
        <v>990</v>
      </c>
      <c r="C627" s="2" t="s">
        <v>47</v>
      </c>
      <c r="D627" s="6" t="n">
        <v>46173</v>
      </c>
      <c r="E627" s="2" t="s">
        <v>64</v>
      </c>
      <c r="F627" s="2" t="s">
        <v>65</v>
      </c>
      <c r="G627" s="2" t="s">
        <v>65</v>
      </c>
      <c r="H627" s="2" t="s">
        <v>34</v>
      </c>
      <c r="I627" s="2" t="s">
        <v>35</v>
      </c>
      <c r="J627" s="2" t="s">
        <v>36</v>
      </c>
      <c r="K627" s="2" t="s">
        <v>67</v>
      </c>
      <c r="L627" s="2"/>
      <c r="M627" s="2" t="str">
        <f aca="false">IF(L627="","",IF(L627=0,"Low",IF(L627=1,"Medium","High")))</f>
        <v/>
      </c>
    </row>
    <row r="628" customFormat="false" ht="15" hidden="false" customHeight="false" outlineLevel="0" collapsed="false">
      <c r="A628" s="2" t="s">
        <v>991</v>
      </c>
      <c r="B628" s="2" t="s">
        <v>992</v>
      </c>
      <c r="C628" s="2" t="s">
        <v>47</v>
      </c>
      <c r="D628" s="6" t="n">
        <v>46173</v>
      </c>
      <c r="E628" s="2" t="s">
        <v>31</v>
      </c>
      <c r="F628" s="2" t="s">
        <v>56</v>
      </c>
      <c r="G628" s="2" t="s">
        <v>33</v>
      </c>
      <c r="H628" s="2" t="s">
        <v>34</v>
      </c>
      <c r="I628" s="2" t="s">
        <v>35</v>
      </c>
      <c r="J628" s="2" t="s">
        <v>36</v>
      </c>
      <c r="K628" s="2" t="s">
        <v>45</v>
      </c>
      <c r="L628" s="2"/>
      <c r="M628" s="2" t="str">
        <f aca="false">IF(L628="","",IF(L628=0,"Low",IF(L628=1,"Medium","High")))</f>
        <v/>
      </c>
    </row>
    <row r="629" customFormat="false" ht="15" hidden="false" customHeight="false" outlineLevel="0" collapsed="false">
      <c r="A629" s="2" t="s">
        <v>993</v>
      </c>
      <c r="B629" s="2" t="s">
        <v>994</v>
      </c>
      <c r="C629" s="2" t="s">
        <v>47</v>
      </c>
      <c r="D629" s="6" t="n">
        <v>46173</v>
      </c>
      <c r="E629" s="2" t="s">
        <v>64</v>
      </c>
      <c r="F629" s="2" t="s">
        <v>65</v>
      </c>
      <c r="G629" s="2" t="s">
        <v>65</v>
      </c>
      <c r="H629" s="2" t="s">
        <v>34</v>
      </c>
      <c r="I629" s="2" t="s">
        <v>86</v>
      </c>
      <c r="J629" s="2" t="s">
        <v>36</v>
      </c>
      <c r="K629" s="2" t="s">
        <v>67</v>
      </c>
      <c r="L629" s="2"/>
      <c r="M629" s="2" t="str">
        <f aca="false">IF(L629="","",IF(L629=0,"Low",IF(L629=1,"Medium","High")))</f>
        <v/>
      </c>
    </row>
    <row r="630" customFormat="false" ht="15" hidden="false" customHeight="false" outlineLevel="0" collapsed="false">
      <c r="A630" s="2" t="s">
        <v>995</v>
      </c>
      <c r="B630" s="2" t="s">
        <v>996</v>
      </c>
      <c r="C630" s="2" t="s">
        <v>47</v>
      </c>
      <c r="D630" s="6" t="n">
        <v>46173</v>
      </c>
      <c r="E630" s="2" t="s">
        <v>64</v>
      </c>
      <c r="F630" s="2" t="s">
        <v>65</v>
      </c>
      <c r="G630" s="2" t="s">
        <v>65</v>
      </c>
      <c r="H630" s="2" t="s">
        <v>34</v>
      </c>
      <c r="I630" s="2" t="s">
        <v>66</v>
      </c>
      <c r="J630" s="2" t="s">
        <v>36</v>
      </c>
      <c r="K630" s="2" t="s">
        <v>67</v>
      </c>
      <c r="L630" s="2"/>
      <c r="M630" s="2" t="str">
        <f aca="false">IF(L630="","",IF(L630=0,"Low",IF(L630=1,"Medium","High")))</f>
        <v/>
      </c>
    </row>
    <row r="631" customFormat="false" ht="15" hidden="false" customHeight="false" outlineLevel="0" collapsed="false">
      <c r="A631" s="2" t="s">
        <v>997</v>
      </c>
      <c r="B631" s="2" t="s">
        <v>998</v>
      </c>
      <c r="C631" s="2" t="s">
        <v>47</v>
      </c>
      <c r="D631" s="6" t="n">
        <v>46173</v>
      </c>
      <c r="E631" s="2" t="s">
        <v>31</v>
      </c>
      <c r="F631" s="2" t="s">
        <v>32</v>
      </c>
      <c r="G631" s="2" t="s">
        <v>33</v>
      </c>
      <c r="H631" s="2" t="s">
        <v>34</v>
      </c>
      <c r="I631" s="2" t="s">
        <v>86</v>
      </c>
      <c r="J631" s="2" t="s">
        <v>36</v>
      </c>
      <c r="K631" s="2" t="s">
        <v>45</v>
      </c>
      <c r="L631" s="2"/>
      <c r="M631" s="2" t="str">
        <f aca="false">IF(L631="","",IF(L631=0,"Low",IF(L631=1,"Medium","High")))</f>
        <v/>
      </c>
    </row>
    <row r="632" customFormat="false" ht="15" hidden="false" customHeight="false" outlineLevel="0" collapsed="false">
      <c r="A632" s="2" t="s">
        <v>999</v>
      </c>
      <c r="B632" s="2" t="s">
        <v>1000</v>
      </c>
      <c r="C632" s="2" t="s">
        <v>47</v>
      </c>
      <c r="D632" s="6" t="n">
        <v>46173</v>
      </c>
      <c r="E632" s="2" t="s">
        <v>31</v>
      </c>
      <c r="F632" s="2" t="s">
        <v>32</v>
      </c>
      <c r="G632" s="2" t="s">
        <v>33</v>
      </c>
      <c r="H632" s="2" t="s">
        <v>34</v>
      </c>
      <c r="I632" s="2" t="s">
        <v>86</v>
      </c>
      <c r="J632" s="2" t="s">
        <v>36</v>
      </c>
      <c r="K632" s="2" t="s">
        <v>67</v>
      </c>
      <c r="L632" s="2"/>
      <c r="M632" s="2" t="str">
        <f aca="false">IF(L632="","",IF(L632=0,"Low",IF(L632=1,"Medium","High")))</f>
        <v/>
      </c>
    </row>
    <row r="633" customFormat="false" ht="15" hidden="false" customHeight="false" outlineLevel="0" collapsed="false">
      <c r="A633" s="2" t="s">
        <v>1001</v>
      </c>
      <c r="B633" s="2" t="s">
        <v>1002</v>
      </c>
      <c r="C633" s="2" t="s">
        <v>47</v>
      </c>
      <c r="D633" s="6" t="n">
        <v>46173</v>
      </c>
      <c r="E633" s="2" t="s">
        <v>40</v>
      </c>
      <c r="F633" s="2" t="s">
        <v>41</v>
      </c>
      <c r="G633" s="2" t="s">
        <v>48</v>
      </c>
      <c r="H633" s="2" t="s">
        <v>34</v>
      </c>
      <c r="I633" s="2" t="s">
        <v>35</v>
      </c>
      <c r="J633" s="2" t="s">
        <v>79</v>
      </c>
      <c r="K633" s="2" t="s">
        <v>37</v>
      </c>
      <c r="L633" s="2"/>
      <c r="M633" s="2" t="str">
        <f aca="false">IF(L633="","",IF(L633=0,"Low",IF(L633=1,"Medium","High")))</f>
        <v/>
      </c>
    </row>
    <row r="634" customFormat="false" ht="15" hidden="false" customHeight="false" outlineLevel="0" collapsed="false">
      <c r="A634" s="2" t="s">
        <v>1003</v>
      </c>
      <c r="B634" s="2" t="s">
        <v>1004</v>
      </c>
      <c r="C634" s="2" t="s">
        <v>47</v>
      </c>
      <c r="D634" s="6" t="n">
        <v>46173</v>
      </c>
      <c r="E634" s="2" t="s">
        <v>64</v>
      </c>
      <c r="F634" s="2" t="s">
        <v>65</v>
      </c>
      <c r="G634" s="2" t="s">
        <v>65</v>
      </c>
      <c r="H634" s="2" t="s">
        <v>34</v>
      </c>
      <c r="I634" s="2" t="s">
        <v>53</v>
      </c>
      <c r="J634" s="2" t="s">
        <v>36</v>
      </c>
      <c r="K634" s="2" t="s">
        <v>67</v>
      </c>
      <c r="L634" s="2"/>
      <c r="M634" s="2" t="str">
        <f aca="false">IF(L634="","",IF(L634=0,"Low",IF(L634=1,"Medium","High")))</f>
        <v/>
      </c>
    </row>
    <row r="635" customFormat="false" ht="15" hidden="false" customHeight="false" outlineLevel="0" collapsed="false">
      <c r="A635" s="2" t="s">
        <v>1005</v>
      </c>
      <c r="B635" s="2" t="s">
        <v>1006</v>
      </c>
      <c r="C635" s="2" t="s">
        <v>47</v>
      </c>
      <c r="D635" s="6" t="n">
        <v>46173</v>
      </c>
      <c r="E635" s="2" t="s">
        <v>64</v>
      </c>
      <c r="F635" s="2" t="s">
        <v>65</v>
      </c>
      <c r="G635" s="2" t="s">
        <v>65</v>
      </c>
      <c r="H635" s="2" t="s">
        <v>34</v>
      </c>
      <c r="I635" s="2" t="s">
        <v>86</v>
      </c>
      <c r="J635" s="2" t="s">
        <v>36</v>
      </c>
      <c r="K635" s="2" t="s">
        <v>67</v>
      </c>
      <c r="L635" s="2"/>
      <c r="M635" s="2" t="str">
        <f aca="false">IF(L635="","",IF(L635=0,"Low",IF(L635=1,"Medium","High")))</f>
        <v/>
      </c>
    </row>
    <row r="636" customFormat="false" ht="15" hidden="false" customHeight="false" outlineLevel="0" collapsed="false">
      <c r="A636" s="2" t="s">
        <v>1007</v>
      </c>
      <c r="B636" s="2" t="s">
        <v>1008</v>
      </c>
      <c r="C636" s="2" t="s">
        <v>47</v>
      </c>
      <c r="D636" s="6" t="n">
        <v>46173</v>
      </c>
      <c r="E636" s="2" t="s">
        <v>31</v>
      </c>
      <c r="F636" s="2" t="s">
        <v>32</v>
      </c>
      <c r="G636" s="2" t="s">
        <v>48</v>
      </c>
      <c r="H636" s="2" t="s">
        <v>34</v>
      </c>
      <c r="I636" s="2" t="s">
        <v>35</v>
      </c>
      <c r="J636" s="2" t="s">
        <v>36</v>
      </c>
      <c r="K636" s="2" t="s">
        <v>67</v>
      </c>
      <c r="L636" s="2"/>
      <c r="M636" s="2" t="str">
        <f aca="false">IF(L636="","",IF(L636=0,"Low",IF(L636=1,"Medium","High")))</f>
        <v/>
      </c>
    </row>
    <row r="637" customFormat="false" ht="15" hidden="false" customHeight="false" outlineLevel="0" collapsed="false">
      <c r="A637" s="2" t="s">
        <v>1009</v>
      </c>
      <c r="B637" s="2" t="s">
        <v>1010</v>
      </c>
      <c r="C637" s="2" t="s">
        <v>47</v>
      </c>
      <c r="D637" s="6" t="n">
        <v>46173</v>
      </c>
      <c r="E637" s="2" t="s">
        <v>64</v>
      </c>
      <c r="F637" s="2" t="s">
        <v>65</v>
      </c>
      <c r="G637" s="2" t="s">
        <v>65</v>
      </c>
      <c r="H637" s="2" t="s">
        <v>34</v>
      </c>
      <c r="I637" s="2" t="s">
        <v>86</v>
      </c>
      <c r="J637" s="2" t="s">
        <v>36</v>
      </c>
      <c r="K637" s="2" t="s">
        <v>67</v>
      </c>
      <c r="L637" s="2"/>
      <c r="M637" s="2" t="str">
        <f aca="false">IF(L637="","",IF(L637=0,"Low",IF(L637=1,"Medium","High")))</f>
        <v/>
      </c>
    </row>
    <row r="638" customFormat="false" ht="15" hidden="false" customHeight="false" outlineLevel="0" collapsed="false">
      <c r="A638" s="2" t="s">
        <v>1011</v>
      </c>
      <c r="B638" s="2" t="s">
        <v>1012</v>
      </c>
      <c r="C638" s="2" t="s">
        <v>47</v>
      </c>
      <c r="D638" s="6" t="n">
        <v>46173</v>
      </c>
      <c r="E638" s="2" t="s">
        <v>64</v>
      </c>
      <c r="F638" s="2" t="s">
        <v>65</v>
      </c>
      <c r="G638" s="2" t="s">
        <v>65</v>
      </c>
      <c r="H638" s="2" t="s">
        <v>34</v>
      </c>
      <c r="I638" s="2" t="s">
        <v>53</v>
      </c>
      <c r="J638" s="2" t="s">
        <v>36</v>
      </c>
      <c r="K638" s="2" t="s">
        <v>67</v>
      </c>
      <c r="L638" s="2"/>
      <c r="M638" s="2" t="str">
        <f aca="false">IF(L638="","",IF(L638=0,"Low",IF(L638=1,"Medium","High")))</f>
        <v/>
      </c>
    </row>
    <row r="639" customFormat="false" ht="15" hidden="false" customHeight="false" outlineLevel="0" collapsed="false">
      <c r="A639" s="2" t="s">
        <v>1013</v>
      </c>
      <c r="B639" s="2" t="s">
        <v>1014</v>
      </c>
      <c r="C639" s="2" t="s">
        <v>47</v>
      </c>
      <c r="D639" s="6" t="n">
        <v>46173</v>
      </c>
      <c r="E639" s="2" t="s">
        <v>60</v>
      </c>
      <c r="F639" s="2" t="s">
        <v>32</v>
      </c>
      <c r="G639" s="2" t="s">
        <v>48</v>
      </c>
      <c r="H639" s="2" t="s">
        <v>34</v>
      </c>
      <c r="I639" s="2" t="s">
        <v>66</v>
      </c>
      <c r="J639" s="2" t="s">
        <v>79</v>
      </c>
      <c r="K639" s="2" t="s">
        <v>45</v>
      </c>
      <c r="L639" s="2"/>
      <c r="M639" s="2" t="str">
        <f aca="false">IF(L639="","",IF(L639=0,"Low",IF(L639=1,"Medium","High")))</f>
        <v/>
      </c>
    </row>
    <row r="640" customFormat="false" ht="15" hidden="false" customHeight="false" outlineLevel="0" collapsed="false">
      <c r="A640" s="2" t="s">
        <v>1015</v>
      </c>
      <c r="B640" s="2" t="s">
        <v>1016</v>
      </c>
      <c r="C640" s="2" t="s">
        <v>47</v>
      </c>
      <c r="D640" s="6" t="n">
        <v>46173</v>
      </c>
      <c r="E640" s="2" t="s">
        <v>31</v>
      </c>
      <c r="F640" s="2" t="s">
        <v>32</v>
      </c>
      <c r="G640" s="2" t="s">
        <v>48</v>
      </c>
      <c r="H640" s="2" t="s">
        <v>34</v>
      </c>
      <c r="I640" s="2" t="s">
        <v>53</v>
      </c>
      <c r="J640" s="2" t="s">
        <v>36</v>
      </c>
      <c r="K640" s="2" t="s">
        <v>45</v>
      </c>
      <c r="L640" s="2"/>
      <c r="M640" s="2" t="str">
        <f aca="false">IF(L640="","",IF(L640=0,"Low",IF(L640=1,"Medium","High")))</f>
        <v/>
      </c>
    </row>
    <row r="641" customFormat="false" ht="15" hidden="false" customHeight="false" outlineLevel="0" collapsed="false">
      <c r="A641" s="2" t="s">
        <v>1017</v>
      </c>
      <c r="B641" s="2" t="s">
        <v>1018</v>
      </c>
      <c r="C641" s="2" t="s">
        <v>47</v>
      </c>
      <c r="D641" s="6" t="n">
        <v>46173</v>
      </c>
      <c r="E641" s="2" t="s">
        <v>31</v>
      </c>
      <c r="F641" s="2" t="s">
        <v>56</v>
      </c>
      <c r="G641" s="2" t="s">
        <v>33</v>
      </c>
      <c r="H641" s="2" t="s">
        <v>34</v>
      </c>
      <c r="I641" s="2" t="s">
        <v>35</v>
      </c>
      <c r="J641" s="2" t="s">
        <v>36</v>
      </c>
      <c r="K641" s="2" t="s">
        <v>45</v>
      </c>
      <c r="L641" s="2"/>
      <c r="M641" s="2" t="str">
        <f aca="false">IF(L641="","",IF(L641=0,"Low",IF(L641=1,"Medium","High")))</f>
        <v/>
      </c>
    </row>
    <row r="642" customFormat="false" ht="15" hidden="false" customHeight="false" outlineLevel="0" collapsed="false">
      <c r="A642" s="2" t="s">
        <v>1019</v>
      </c>
      <c r="B642" s="2" t="s">
        <v>1020</v>
      </c>
      <c r="C642" s="2" t="s">
        <v>47</v>
      </c>
      <c r="D642" s="6" t="n">
        <v>46173</v>
      </c>
      <c r="E642" s="2" t="s">
        <v>64</v>
      </c>
      <c r="F642" s="2" t="s">
        <v>65</v>
      </c>
      <c r="G642" s="2" t="s">
        <v>65</v>
      </c>
      <c r="H642" s="2" t="s">
        <v>34</v>
      </c>
      <c r="I642" s="2" t="s">
        <v>66</v>
      </c>
      <c r="J642" s="2" t="s">
        <v>36</v>
      </c>
      <c r="K642" s="2" t="s">
        <v>67</v>
      </c>
      <c r="L642" s="2"/>
      <c r="M642" s="2" t="str">
        <f aca="false">IF(L642="","",IF(L642=0,"Low",IF(L642=1,"Medium","High")))</f>
        <v/>
      </c>
    </row>
    <row r="643" customFormat="false" ht="15" hidden="false" customHeight="false" outlineLevel="0" collapsed="false">
      <c r="A643" s="2" t="s">
        <v>1021</v>
      </c>
      <c r="B643" s="2" t="s">
        <v>1022</v>
      </c>
      <c r="C643" s="2" t="s">
        <v>47</v>
      </c>
      <c r="D643" s="6" t="n">
        <v>46173</v>
      </c>
      <c r="E643" s="2" t="s">
        <v>64</v>
      </c>
      <c r="F643" s="2" t="s">
        <v>65</v>
      </c>
      <c r="G643" s="2" t="s">
        <v>65</v>
      </c>
      <c r="H643" s="2" t="s">
        <v>34</v>
      </c>
      <c r="I643" s="2" t="s">
        <v>35</v>
      </c>
      <c r="J643" s="2" t="s">
        <v>36</v>
      </c>
      <c r="K643" s="2" t="s">
        <v>67</v>
      </c>
      <c r="L643" s="2"/>
      <c r="M643" s="2" t="str">
        <f aca="false">IF(L643="","",IF(L643=0,"Low",IF(L643=1,"Medium","High")))</f>
        <v/>
      </c>
    </row>
    <row r="644" customFormat="false" ht="15" hidden="false" customHeight="false" outlineLevel="0" collapsed="false">
      <c r="A644" s="2" t="s">
        <v>1023</v>
      </c>
      <c r="B644" s="2" t="s">
        <v>1024</v>
      </c>
      <c r="C644" s="2" t="s">
        <v>47</v>
      </c>
      <c r="D644" s="6" t="n">
        <v>46173</v>
      </c>
      <c r="E644" s="2" t="s">
        <v>60</v>
      </c>
      <c r="F644" s="2" t="s">
        <v>41</v>
      </c>
      <c r="G644" s="2" t="s">
        <v>48</v>
      </c>
      <c r="H644" s="2" t="s">
        <v>34</v>
      </c>
      <c r="I644" s="2" t="s">
        <v>53</v>
      </c>
      <c r="J644" s="2" t="s">
        <v>228</v>
      </c>
      <c r="K644" s="2" t="s">
        <v>57</v>
      </c>
      <c r="L644" s="2"/>
      <c r="M644" s="2" t="str">
        <f aca="false">IF(L644="","",IF(L644=0,"Low",IF(L644=1,"Medium","High")))</f>
        <v/>
      </c>
    </row>
    <row r="645" customFormat="false" ht="15" hidden="false" customHeight="false" outlineLevel="0" collapsed="false">
      <c r="A645" s="2" t="s">
        <v>1025</v>
      </c>
      <c r="B645" s="2" t="s">
        <v>1026</v>
      </c>
      <c r="C645" s="2" t="s">
        <v>47</v>
      </c>
      <c r="D645" s="6" t="n">
        <v>46173</v>
      </c>
      <c r="E645" s="2" t="s">
        <v>60</v>
      </c>
      <c r="F645" s="2" t="s">
        <v>56</v>
      </c>
      <c r="G645" s="2" t="s">
        <v>33</v>
      </c>
      <c r="H645" s="2" t="s">
        <v>34</v>
      </c>
      <c r="I645" s="2" t="s">
        <v>53</v>
      </c>
      <c r="J645" s="2" t="s">
        <v>79</v>
      </c>
      <c r="K645" s="2" t="s">
        <v>45</v>
      </c>
      <c r="L645" s="2"/>
      <c r="M645" s="2" t="str">
        <f aca="false">IF(L645="","",IF(L645=0,"Low",IF(L645=1,"Medium","High")))</f>
        <v/>
      </c>
    </row>
    <row r="646" customFormat="false" ht="15" hidden="false" customHeight="false" outlineLevel="0" collapsed="false">
      <c r="A646" s="2" t="s">
        <v>1027</v>
      </c>
      <c r="B646" s="2" t="s">
        <v>1028</v>
      </c>
      <c r="C646" s="2" t="s">
        <v>47</v>
      </c>
      <c r="D646" s="6" t="n">
        <v>46173</v>
      </c>
      <c r="E646" s="2" t="s">
        <v>64</v>
      </c>
      <c r="F646" s="2" t="s">
        <v>65</v>
      </c>
      <c r="G646" s="2" t="s">
        <v>65</v>
      </c>
      <c r="H646" s="2" t="s">
        <v>34</v>
      </c>
      <c r="I646" s="2" t="s">
        <v>86</v>
      </c>
      <c r="J646" s="2" t="s">
        <v>36</v>
      </c>
      <c r="K646" s="2" t="s">
        <v>67</v>
      </c>
      <c r="L646" s="2"/>
      <c r="M646" s="2" t="str">
        <f aca="false">IF(L646="","",IF(L646=0,"Low",IF(L646=1,"Medium","High")))</f>
        <v/>
      </c>
    </row>
    <row r="647" customFormat="false" ht="15" hidden="false" customHeight="false" outlineLevel="0" collapsed="false">
      <c r="A647" s="2" t="s">
        <v>1029</v>
      </c>
      <c r="B647" s="2" t="s">
        <v>1030</v>
      </c>
      <c r="C647" s="2" t="s">
        <v>47</v>
      </c>
      <c r="D647" s="6" t="n">
        <v>46173</v>
      </c>
      <c r="E647" s="2" t="s">
        <v>60</v>
      </c>
      <c r="F647" s="2" t="s">
        <v>32</v>
      </c>
      <c r="G647" s="2" t="s">
        <v>42</v>
      </c>
      <c r="H647" s="2" t="s">
        <v>34</v>
      </c>
      <c r="I647" s="2" t="s">
        <v>86</v>
      </c>
      <c r="J647" s="2" t="s">
        <v>79</v>
      </c>
      <c r="K647" s="2" t="s">
        <v>45</v>
      </c>
      <c r="L647" s="2"/>
      <c r="M647" s="2" t="str">
        <f aca="false">IF(L647="","",IF(L647=0,"Low",IF(L647=1,"Medium","High")))</f>
        <v/>
      </c>
    </row>
    <row r="648" customFormat="false" ht="15" hidden="false" customHeight="false" outlineLevel="0" collapsed="false">
      <c r="A648" s="2" t="s">
        <v>1031</v>
      </c>
      <c r="B648" s="2" t="s">
        <v>1032</v>
      </c>
      <c r="C648" s="2" t="s">
        <v>47</v>
      </c>
      <c r="D648" s="6" t="n">
        <v>46173</v>
      </c>
      <c r="E648" s="2" t="s">
        <v>31</v>
      </c>
      <c r="F648" s="2" t="s">
        <v>32</v>
      </c>
      <c r="G648" s="2" t="s">
        <v>33</v>
      </c>
      <c r="H648" s="2" t="s">
        <v>34</v>
      </c>
      <c r="I648" s="2" t="s">
        <v>53</v>
      </c>
      <c r="J648" s="2" t="s">
        <v>36</v>
      </c>
      <c r="K648" s="2" t="s">
        <v>67</v>
      </c>
      <c r="L648" s="2"/>
      <c r="M648" s="2" t="str">
        <f aca="false">IF(L648="","",IF(L648=0,"Low",IF(L648=1,"Medium","High")))</f>
        <v/>
      </c>
    </row>
    <row r="649" customFormat="false" ht="15" hidden="false" customHeight="false" outlineLevel="0" collapsed="false">
      <c r="A649" s="2" t="s">
        <v>1033</v>
      </c>
      <c r="B649" s="2" t="s">
        <v>1034</v>
      </c>
      <c r="C649" s="2" t="s">
        <v>47</v>
      </c>
      <c r="D649" s="6" t="n">
        <v>46173</v>
      </c>
      <c r="E649" s="2" t="s">
        <v>60</v>
      </c>
      <c r="F649" s="2" t="s">
        <v>41</v>
      </c>
      <c r="G649" s="2" t="s">
        <v>110</v>
      </c>
      <c r="H649" s="2" t="s">
        <v>34</v>
      </c>
      <c r="I649" s="2" t="s">
        <v>53</v>
      </c>
      <c r="J649" s="2" t="s">
        <v>44</v>
      </c>
      <c r="K649" s="2" t="s">
        <v>67</v>
      </c>
      <c r="L649" s="2"/>
      <c r="M649" s="2" t="str">
        <f aca="false">IF(L649="","",IF(L649=0,"Low",IF(L649=1,"Medium","High")))</f>
        <v/>
      </c>
    </row>
    <row r="650" customFormat="false" ht="15" hidden="false" customHeight="false" outlineLevel="0" collapsed="false">
      <c r="A650" s="2" t="s">
        <v>1035</v>
      </c>
      <c r="B650" s="2" t="s">
        <v>1036</v>
      </c>
      <c r="C650" s="2" t="s">
        <v>47</v>
      </c>
      <c r="D650" s="6" t="n">
        <v>46173</v>
      </c>
      <c r="E650" s="2" t="s">
        <v>64</v>
      </c>
      <c r="F650" s="2" t="s">
        <v>65</v>
      </c>
      <c r="G650" s="2" t="s">
        <v>65</v>
      </c>
      <c r="H650" s="2" t="s">
        <v>34</v>
      </c>
      <c r="I650" s="2" t="s">
        <v>35</v>
      </c>
      <c r="J650" s="2" t="s">
        <v>36</v>
      </c>
      <c r="K650" s="2" t="s">
        <v>67</v>
      </c>
      <c r="L650" s="2"/>
      <c r="M650" s="2" t="str">
        <f aca="false">IF(L650="","",IF(L650=0,"Low",IF(L650=1,"Medium","High")))</f>
        <v/>
      </c>
    </row>
    <row r="651" customFormat="false" ht="15" hidden="false" customHeight="false" outlineLevel="0" collapsed="false">
      <c r="A651" s="2" t="s">
        <v>1037</v>
      </c>
      <c r="B651" s="2" t="s">
        <v>1038</v>
      </c>
      <c r="C651" s="2" t="s">
        <v>47</v>
      </c>
      <c r="D651" s="6" t="n">
        <v>46173</v>
      </c>
      <c r="E651" s="2" t="s">
        <v>31</v>
      </c>
      <c r="F651" s="2" t="s">
        <v>32</v>
      </c>
      <c r="G651" s="2" t="s">
        <v>48</v>
      </c>
      <c r="H651" s="2" t="s">
        <v>34</v>
      </c>
      <c r="I651" s="2" t="s">
        <v>53</v>
      </c>
      <c r="J651" s="2" t="s">
        <v>36</v>
      </c>
      <c r="K651" s="2" t="s">
        <v>37</v>
      </c>
      <c r="L651" s="2"/>
      <c r="M651" s="2" t="str">
        <f aca="false">IF(L651="","",IF(L651=0,"Low",IF(L651=1,"Medium","High")))</f>
        <v/>
      </c>
    </row>
    <row r="652" customFormat="false" ht="15" hidden="false" customHeight="false" outlineLevel="0" collapsed="false">
      <c r="A652" s="2" t="s">
        <v>1039</v>
      </c>
      <c r="B652" s="2" t="s">
        <v>1040</v>
      </c>
      <c r="C652" s="2" t="s">
        <v>47</v>
      </c>
      <c r="D652" s="6" t="n">
        <v>46173</v>
      </c>
      <c r="E652" s="2" t="s">
        <v>64</v>
      </c>
      <c r="F652" s="2" t="s">
        <v>65</v>
      </c>
      <c r="G652" s="2" t="s">
        <v>65</v>
      </c>
      <c r="H652" s="2" t="s">
        <v>34</v>
      </c>
      <c r="I652" s="2" t="s">
        <v>35</v>
      </c>
      <c r="J652" s="2" t="s">
        <v>36</v>
      </c>
      <c r="K652" s="2" t="s">
        <v>67</v>
      </c>
      <c r="L652" s="2"/>
      <c r="M652" s="2" t="str">
        <f aca="false">IF(L652="","",IF(L652=0,"Low",IF(L652=1,"Medium","High")))</f>
        <v/>
      </c>
    </row>
    <row r="653" customFormat="false" ht="15" hidden="false" customHeight="false" outlineLevel="0" collapsed="false">
      <c r="A653" s="2" t="s">
        <v>1041</v>
      </c>
      <c r="B653" s="2" t="s">
        <v>1042</v>
      </c>
      <c r="C653" s="2" t="s">
        <v>47</v>
      </c>
      <c r="D653" s="6" t="n">
        <v>46173</v>
      </c>
      <c r="E653" s="2" t="s">
        <v>31</v>
      </c>
      <c r="F653" s="2" t="s">
        <v>32</v>
      </c>
      <c r="G653" s="2" t="s">
        <v>48</v>
      </c>
      <c r="H653" s="2" t="s">
        <v>34</v>
      </c>
      <c r="I653" s="2" t="s">
        <v>86</v>
      </c>
      <c r="J653" s="2" t="s">
        <v>36</v>
      </c>
      <c r="K653" s="2" t="s">
        <v>45</v>
      </c>
      <c r="L653" s="2"/>
      <c r="M653" s="2" t="str">
        <f aca="false">IF(L653="","",IF(L653=0,"Low",IF(L653=1,"Medium","High")))</f>
        <v/>
      </c>
    </row>
    <row r="654" customFormat="false" ht="15" hidden="false" customHeight="false" outlineLevel="0" collapsed="false">
      <c r="A654" s="2" t="s">
        <v>1043</v>
      </c>
      <c r="B654" s="2" t="s">
        <v>1044</v>
      </c>
      <c r="C654" s="2" t="s">
        <v>47</v>
      </c>
      <c r="D654" s="6" t="n">
        <v>46173</v>
      </c>
      <c r="E654" s="2" t="s">
        <v>31</v>
      </c>
      <c r="F654" s="2" t="s">
        <v>32</v>
      </c>
      <c r="G654" s="2" t="s">
        <v>42</v>
      </c>
      <c r="H654" s="2" t="s">
        <v>34</v>
      </c>
      <c r="I654" s="2" t="s">
        <v>35</v>
      </c>
      <c r="J654" s="2" t="s">
        <v>36</v>
      </c>
      <c r="K654" s="2" t="s">
        <v>45</v>
      </c>
      <c r="L654" s="2"/>
      <c r="M654" s="2" t="str">
        <f aca="false">IF(L654="","",IF(L654=0,"Low",IF(L654=1,"Medium","High")))</f>
        <v/>
      </c>
    </row>
    <row r="655" customFormat="false" ht="15" hidden="false" customHeight="false" outlineLevel="0" collapsed="false">
      <c r="A655" s="2" t="s">
        <v>1045</v>
      </c>
      <c r="B655" s="2" t="s">
        <v>1046</v>
      </c>
      <c r="C655" s="2" t="s">
        <v>47</v>
      </c>
      <c r="D655" s="6" t="n">
        <v>46173</v>
      </c>
      <c r="E655" s="2" t="s">
        <v>64</v>
      </c>
      <c r="F655" s="2" t="s">
        <v>65</v>
      </c>
      <c r="G655" s="2" t="s">
        <v>65</v>
      </c>
      <c r="H655" s="2" t="s">
        <v>34</v>
      </c>
      <c r="I655" s="2" t="s">
        <v>35</v>
      </c>
      <c r="J655" s="2" t="s">
        <v>36</v>
      </c>
      <c r="K655" s="2" t="s">
        <v>67</v>
      </c>
      <c r="L655" s="2"/>
      <c r="M655" s="2" t="str">
        <f aca="false">IF(L655="","",IF(L655=0,"Low",IF(L655=1,"Medium","High")))</f>
        <v/>
      </c>
    </row>
    <row r="656" customFormat="false" ht="15" hidden="false" customHeight="false" outlineLevel="0" collapsed="false">
      <c r="A656" s="2" t="s">
        <v>1047</v>
      </c>
      <c r="B656" s="2" t="s">
        <v>1048</v>
      </c>
      <c r="C656" s="2" t="s">
        <v>47</v>
      </c>
      <c r="D656" s="6" t="n">
        <v>46173</v>
      </c>
      <c r="E656" s="2" t="s">
        <v>60</v>
      </c>
      <c r="F656" s="2" t="s">
        <v>32</v>
      </c>
      <c r="G656" s="2" t="s">
        <v>33</v>
      </c>
      <c r="H656" s="2" t="s">
        <v>34</v>
      </c>
      <c r="I656" s="2" t="s">
        <v>66</v>
      </c>
      <c r="J656" s="2" t="s">
        <v>44</v>
      </c>
      <c r="K656" s="2" t="s">
        <v>45</v>
      </c>
      <c r="L656" s="2"/>
      <c r="M656" s="2" t="str">
        <f aca="false">IF(L656="","",IF(L656=0,"Low",IF(L656=1,"Medium","High")))</f>
        <v/>
      </c>
    </row>
    <row r="657" customFormat="false" ht="15" hidden="false" customHeight="false" outlineLevel="0" collapsed="false">
      <c r="A657" s="2" t="s">
        <v>1049</v>
      </c>
      <c r="B657" s="2" t="s">
        <v>1050</v>
      </c>
      <c r="C657" s="2" t="s">
        <v>47</v>
      </c>
      <c r="D657" s="6" t="n">
        <v>46173</v>
      </c>
      <c r="E657" s="2" t="s">
        <v>40</v>
      </c>
      <c r="F657" s="2" t="s">
        <v>41</v>
      </c>
      <c r="G657" s="2" t="s">
        <v>42</v>
      </c>
      <c r="H657" s="2" t="s">
        <v>34</v>
      </c>
      <c r="I657" s="2" t="s">
        <v>86</v>
      </c>
      <c r="J657" s="2" t="s">
        <v>79</v>
      </c>
      <c r="K657" s="2" t="s">
        <v>45</v>
      </c>
      <c r="L657" s="2"/>
      <c r="M657" s="2" t="str">
        <f aca="false">IF(L657="","",IF(L657=0,"Low",IF(L657=1,"Medium","High")))</f>
        <v/>
      </c>
    </row>
    <row r="658" customFormat="false" ht="15" hidden="false" customHeight="false" outlineLevel="0" collapsed="false">
      <c r="A658" s="2" t="s">
        <v>1051</v>
      </c>
      <c r="B658" s="2" t="s">
        <v>1052</v>
      </c>
      <c r="C658" s="2" t="s">
        <v>47</v>
      </c>
      <c r="D658" s="6" t="n">
        <v>46173</v>
      </c>
      <c r="E658" s="2" t="s">
        <v>31</v>
      </c>
      <c r="F658" s="2" t="s">
        <v>32</v>
      </c>
      <c r="G658" s="2" t="s">
        <v>33</v>
      </c>
      <c r="H658" s="2" t="s">
        <v>34</v>
      </c>
      <c r="I658" s="2" t="s">
        <v>86</v>
      </c>
      <c r="J658" s="2" t="s">
        <v>36</v>
      </c>
      <c r="K658" s="2" t="s">
        <v>45</v>
      </c>
      <c r="L658" s="2"/>
      <c r="M658" s="2" t="str">
        <f aca="false">IF(L658="","",IF(L658=0,"Low",IF(L658=1,"Medium","High")))</f>
        <v/>
      </c>
    </row>
    <row r="659" customFormat="false" ht="15" hidden="false" customHeight="false" outlineLevel="0" collapsed="false">
      <c r="A659" s="2" t="s">
        <v>1053</v>
      </c>
      <c r="B659" s="2" t="s">
        <v>1054</v>
      </c>
      <c r="C659" s="2" t="s">
        <v>47</v>
      </c>
      <c r="D659" s="6" t="n">
        <v>46173</v>
      </c>
      <c r="E659" s="2" t="s">
        <v>60</v>
      </c>
      <c r="F659" s="2" t="s">
        <v>56</v>
      </c>
      <c r="G659" s="2" t="s">
        <v>110</v>
      </c>
      <c r="H659" s="2" t="s">
        <v>34</v>
      </c>
      <c r="I659" s="2" t="s">
        <v>53</v>
      </c>
      <c r="J659" s="2" t="s">
        <v>79</v>
      </c>
      <c r="K659" s="2" t="s">
        <v>37</v>
      </c>
      <c r="L659" s="2"/>
      <c r="M659" s="2" t="str">
        <f aca="false">IF(L659="","",IF(L659=0,"Low",IF(L659=1,"Medium","High")))</f>
        <v/>
      </c>
    </row>
    <row r="660" customFormat="false" ht="15" hidden="false" customHeight="false" outlineLevel="0" collapsed="false">
      <c r="A660" s="2" t="s">
        <v>1055</v>
      </c>
      <c r="B660" s="2" t="s">
        <v>1056</v>
      </c>
      <c r="C660" s="2" t="s">
        <v>47</v>
      </c>
      <c r="D660" s="6" t="n">
        <v>46173</v>
      </c>
      <c r="E660" s="2" t="s">
        <v>64</v>
      </c>
      <c r="F660" s="2" t="s">
        <v>65</v>
      </c>
      <c r="G660" s="2" t="s">
        <v>65</v>
      </c>
      <c r="H660" s="2" t="s">
        <v>34</v>
      </c>
      <c r="I660" s="2" t="s">
        <v>86</v>
      </c>
      <c r="J660" s="2" t="s">
        <v>36</v>
      </c>
      <c r="K660" s="2" t="s">
        <v>67</v>
      </c>
      <c r="L660" s="2"/>
      <c r="M660" s="2" t="str">
        <f aca="false">IF(L660="","",IF(L660=0,"Low",IF(L660=1,"Medium","High")))</f>
        <v/>
      </c>
    </row>
    <row r="661" customFormat="false" ht="15" hidden="false" customHeight="false" outlineLevel="0" collapsed="false">
      <c r="A661" s="2" t="s">
        <v>1057</v>
      </c>
      <c r="B661" s="2" t="s">
        <v>1058</v>
      </c>
      <c r="C661" s="2" t="s">
        <v>47</v>
      </c>
      <c r="D661" s="6" t="n">
        <v>46173</v>
      </c>
      <c r="E661" s="2" t="s">
        <v>64</v>
      </c>
      <c r="F661" s="2" t="s">
        <v>65</v>
      </c>
      <c r="G661" s="2" t="s">
        <v>65</v>
      </c>
      <c r="H661" s="2" t="s">
        <v>34</v>
      </c>
      <c r="I661" s="2" t="s">
        <v>35</v>
      </c>
      <c r="J661" s="2" t="s">
        <v>36</v>
      </c>
      <c r="K661" s="2" t="s">
        <v>67</v>
      </c>
      <c r="L661" s="2"/>
      <c r="M661" s="2" t="str">
        <f aca="false">IF(L661="","",IF(L661=0,"Low",IF(L661=1,"Medium","High")))</f>
        <v/>
      </c>
    </row>
  </sheetData>
  <autoFilter ref="A1:M6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1" customFormat="false" ht="23.85" hidden="false" customHeight="false" outlineLevel="0" collapsed="false">
      <c r="A1" s="5" t="s">
        <v>1059</v>
      </c>
      <c r="B1" s="5" t="s">
        <v>16</v>
      </c>
      <c r="C1" s="5" t="s">
        <v>1060</v>
      </c>
      <c r="D1" s="5" t="s">
        <v>17</v>
      </c>
      <c r="E1" s="5" t="s">
        <v>1061</v>
      </c>
      <c r="F1" s="5" t="s">
        <v>1062</v>
      </c>
      <c r="G1" s="5" t="s">
        <v>1063</v>
      </c>
      <c r="H1" s="5" t="s">
        <v>25</v>
      </c>
      <c r="I1" s="5" t="s">
        <v>1064</v>
      </c>
    </row>
    <row r="2" customFormat="false" ht="15" hidden="false" customHeight="false" outlineLevel="0" collapsed="false">
      <c r="A2" s="2" t="s">
        <v>1065</v>
      </c>
      <c r="B2" s="2" t="s">
        <v>294</v>
      </c>
      <c r="C2" s="6" t="n">
        <v>45084</v>
      </c>
      <c r="D2" s="2" t="s">
        <v>30</v>
      </c>
      <c r="E2" s="2" t="s">
        <v>1066</v>
      </c>
      <c r="F2" s="2" t="s">
        <v>1067</v>
      </c>
      <c r="G2" s="2" t="s">
        <v>1068</v>
      </c>
      <c r="H2" s="2" t="s">
        <v>45</v>
      </c>
      <c r="I2" s="2" t="s">
        <v>1069</v>
      </c>
    </row>
    <row r="3" customFormat="false" ht="15" hidden="false" customHeight="false" outlineLevel="0" collapsed="false">
      <c r="A3" s="2" t="s">
        <v>1070</v>
      </c>
      <c r="B3" s="2" t="s">
        <v>722</v>
      </c>
      <c r="C3" s="6" t="n">
        <v>45089</v>
      </c>
      <c r="D3" s="2" t="s">
        <v>30</v>
      </c>
      <c r="E3" s="2" t="s">
        <v>1071</v>
      </c>
      <c r="F3" s="2" t="s">
        <v>1067</v>
      </c>
      <c r="G3" s="2" t="s">
        <v>1068</v>
      </c>
      <c r="H3" s="2" t="s">
        <v>37</v>
      </c>
      <c r="I3" s="2" t="s">
        <v>1072</v>
      </c>
    </row>
    <row r="4" customFormat="false" ht="15" hidden="false" customHeight="false" outlineLevel="0" collapsed="false">
      <c r="A4" s="2" t="s">
        <v>1073</v>
      </c>
      <c r="B4" s="2" t="s">
        <v>401</v>
      </c>
      <c r="C4" s="6" t="n">
        <v>45091</v>
      </c>
      <c r="D4" s="2" t="s">
        <v>30</v>
      </c>
      <c r="E4" s="2" t="s">
        <v>1074</v>
      </c>
      <c r="F4" s="2" t="s">
        <v>1075</v>
      </c>
      <c r="G4" s="2" t="s">
        <v>1068</v>
      </c>
      <c r="H4" s="2" t="s">
        <v>45</v>
      </c>
      <c r="I4" s="2" t="s">
        <v>1069</v>
      </c>
    </row>
    <row r="5" customFormat="false" ht="15" hidden="false" customHeight="false" outlineLevel="0" collapsed="false">
      <c r="A5" s="2" t="s">
        <v>1076</v>
      </c>
      <c r="B5" s="2" t="s">
        <v>522</v>
      </c>
      <c r="C5" s="6" t="n">
        <v>45091</v>
      </c>
      <c r="D5" s="2" t="s">
        <v>30</v>
      </c>
      <c r="E5" s="2" t="s">
        <v>1066</v>
      </c>
      <c r="F5" s="2" t="s">
        <v>1067</v>
      </c>
      <c r="G5" s="2" t="s">
        <v>1068</v>
      </c>
      <c r="H5" s="2" t="s">
        <v>37</v>
      </c>
      <c r="I5" s="2" t="s">
        <v>1069</v>
      </c>
    </row>
    <row r="6" customFormat="false" ht="15" hidden="false" customHeight="false" outlineLevel="0" collapsed="false">
      <c r="A6" s="2" t="s">
        <v>1077</v>
      </c>
      <c r="B6" s="2" t="s">
        <v>528</v>
      </c>
      <c r="C6" s="6" t="n">
        <v>45091</v>
      </c>
      <c r="D6" s="2" t="s">
        <v>30</v>
      </c>
      <c r="E6" s="2" t="s">
        <v>1078</v>
      </c>
      <c r="F6" s="2" t="s">
        <v>1075</v>
      </c>
      <c r="G6" s="2" t="s">
        <v>1068</v>
      </c>
      <c r="H6" s="2" t="s">
        <v>45</v>
      </c>
      <c r="I6" s="2" t="s">
        <v>1069</v>
      </c>
    </row>
    <row r="7" customFormat="false" ht="15" hidden="false" customHeight="false" outlineLevel="0" collapsed="false">
      <c r="A7" s="2" t="s">
        <v>1079</v>
      </c>
      <c r="B7" s="2" t="s">
        <v>227</v>
      </c>
      <c r="C7" s="6" t="n">
        <v>45093</v>
      </c>
      <c r="D7" s="2" t="s">
        <v>30</v>
      </c>
      <c r="E7" s="2" t="s">
        <v>1080</v>
      </c>
      <c r="F7" s="2" t="s">
        <v>1067</v>
      </c>
      <c r="G7" s="2" t="s">
        <v>1068</v>
      </c>
      <c r="H7" s="2" t="s">
        <v>37</v>
      </c>
      <c r="I7" s="2" t="s">
        <v>1069</v>
      </c>
    </row>
    <row r="8" customFormat="false" ht="15" hidden="false" customHeight="false" outlineLevel="0" collapsed="false">
      <c r="A8" s="2" t="s">
        <v>1081</v>
      </c>
      <c r="B8" s="2" t="s">
        <v>483</v>
      </c>
      <c r="C8" s="6" t="n">
        <v>45096</v>
      </c>
      <c r="D8" s="2" t="s">
        <v>30</v>
      </c>
      <c r="E8" s="2" t="s">
        <v>1071</v>
      </c>
      <c r="F8" s="2" t="s">
        <v>1067</v>
      </c>
      <c r="G8" s="2" t="s">
        <v>1068</v>
      </c>
      <c r="H8" s="2" t="s">
        <v>57</v>
      </c>
      <c r="I8" s="2" t="s">
        <v>1072</v>
      </c>
    </row>
    <row r="9" customFormat="false" ht="15" hidden="false" customHeight="false" outlineLevel="0" collapsed="false">
      <c r="A9" s="2" t="s">
        <v>1082</v>
      </c>
      <c r="B9" s="2" t="s">
        <v>96</v>
      </c>
      <c r="C9" s="6" t="n">
        <v>45097</v>
      </c>
      <c r="D9" s="2" t="s">
        <v>30</v>
      </c>
      <c r="E9" s="2" t="s">
        <v>1071</v>
      </c>
      <c r="F9" s="2" t="s">
        <v>1067</v>
      </c>
      <c r="G9" s="2" t="s">
        <v>1068</v>
      </c>
      <c r="H9" s="2" t="s">
        <v>37</v>
      </c>
      <c r="I9" s="2" t="s">
        <v>1069</v>
      </c>
    </row>
    <row r="10" customFormat="false" ht="15" hidden="false" customHeight="false" outlineLevel="0" collapsed="false">
      <c r="A10" s="2" t="s">
        <v>1083</v>
      </c>
      <c r="B10" s="2" t="s">
        <v>59</v>
      </c>
      <c r="C10" s="6" t="n">
        <v>45100</v>
      </c>
      <c r="D10" s="2" t="s">
        <v>30</v>
      </c>
      <c r="E10" s="2" t="s">
        <v>1080</v>
      </c>
      <c r="F10" s="2" t="s">
        <v>1067</v>
      </c>
      <c r="G10" s="2" t="s">
        <v>1068</v>
      </c>
      <c r="H10" s="2" t="s">
        <v>45</v>
      </c>
      <c r="I10" s="2" t="s">
        <v>1069</v>
      </c>
    </row>
    <row r="11" customFormat="false" ht="15" hidden="false" customHeight="false" outlineLevel="0" collapsed="false">
      <c r="A11" s="2" t="s">
        <v>1084</v>
      </c>
      <c r="B11" s="2" t="s">
        <v>336</v>
      </c>
      <c r="C11" s="6" t="n">
        <v>45103</v>
      </c>
      <c r="D11" s="2" t="s">
        <v>30</v>
      </c>
      <c r="E11" s="2" t="s">
        <v>1066</v>
      </c>
      <c r="F11" s="2" t="s">
        <v>1067</v>
      </c>
      <c r="G11" s="2" t="s">
        <v>1085</v>
      </c>
      <c r="H11" s="2" t="s">
        <v>67</v>
      </c>
      <c r="I11" s="2" t="s">
        <v>1069</v>
      </c>
    </row>
    <row r="12" customFormat="false" ht="15" hidden="false" customHeight="false" outlineLevel="0" collapsed="false">
      <c r="A12" s="2" t="s">
        <v>1086</v>
      </c>
      <c r="B12" s="2" t="s">
        <v>504</v>
      </c>
      <c r="C12" s="6" t="n">
        <v>45104</v>
      </c>
      <c r="D12" s="2" t="s">
        <v>30</v>
      </c>
      <c r="E12" s="2" t="s">
        <v>1066</v>
      </c>
      <c r="F12" s="2" t="s">
        <v>1067</v>
      </c>
      <c r="G12" s="2" t="s">
        <v>1068</v>
      </c>
      <c r="H12" s="2" t="s">
        <v>45</v>
      </c>
      <c r="I12" s="2" t="s">
        <v>1072</v>
      </c>
    </row>
    <row r="13" customFormat="false" ht="15" hidden="false" customHeight="false" outlineLevel="0" collapsed="false">
      <c r="A13" s="2" t="s">
        <v>1087</v>
      </c>
      <c r="B13" s="2" t="s">
        <v>262</v>
      </c>
      <c r="C13" s="6" t="n">
        <v>45105</v>
      </c>
      <c r="D13" s="2" t="s">
        <v>30</v>
      </c>
      <c r="E13" s="2" t="s">
        <v>1071</v>
      </c>
      <c r="F13" s="2" t="s">
        <v>1067</v>
      </c>
      <c r="G13" s="2" t="s">
        <v>1068</v>
      </c>
      <c r="H13" s="2" t="s">
        <v>45</v>
      </c>
      <c r="I13" s="2" t="s">
        <v>1069</v>
      </c>
    </row>
    <row r="14" customFormat="false" ht="15" hidden="false" customHeight="false" outlineLevel="0" collapsed="false">
      <c r="A14" s="2" t="s">
        <v>1088</v>
      </c>
      <c r="B14" s="2" t="s">
        <v>443</v>
      </c>
      <c r="C14" s="6" t="n">
        <v>45107</v>
      </c>
      <c r="D14" s="2" t="s">
        <v>30</v>
      </c>
      <c r="E14" s="2" t="s">
        <v>1071</v>
      </c>
      <c r="F14" s="2" t="s">
        <v>1067</v>
      </c>
      <c r="G14" s="2" t="s">
        <v>1068</v>
      </c>
      <c r="H14" s="2" t="s">
        <v>37</v>
      </c>
      <c r="I14" s="2" t="s">
        <v>1072</v>
      </c>
    </row>
    <row r="15" customFormat="false" ht="15" hidden="false" customHeight="false" outlineLevel="0" collapsed="false">
      <c r="A15" s="2" t="s">
        <v>1089</v>
      </c>
      <c r="B15" s="2" t="s">
        <v>554</v>
      </c>
      <c r="C15" s="6" t="n">
        <v>45110</v>
      </c>
      <c r="D15" s="2" t="s">
        <v>30</v>
      </c>
      <c r="E15" s="2" t="s">
        <v>1090</v>
      </c>
      <c r="F15" s="2" t="s">
        <v>1067</v>
      </c>
      <c r="G15" s="2" t="s">
        <v>1068</v>
      </c>
      <c r="H15" s="2" t="s">
        <v>45</v>
      </c>
      <c r="I15" s="2" t="s">
        <v>1069</v>
      </c>
    </row>
    <row r="16" customFormat="false" ht="15" hidden="false" customHeight="false" outlineLevel="0" collapsed="false">
      <c r="A16" s="2" t="s">
        <v>1091</v>
      </c>
      <c r="B16" s="2" t="s">
        <v>227</v>
      </c>
      <c r="C16" s="6" t="n">
        <v>45114</v>
      </c>
      <c r="D16" s="2" t="s">
        <v>30</v>
      </c>
      <c r="E16" s="2" t="s">
        <v>1090</v>
      </c>
      <c r="F16" s="2" t="s">
        <v>1067</v>
      </c>
      <c r="G16" s="2" t="s">
        <v>1068</v>
      </c>
      <c r="H16" s="2" t="s">
        <v>37</v>
      </c>
      <c r="I16" s="2" t="s">
        <v>1069</v>
      </c>
    </row>
    <row r="17" customFormat="false" ht="15" hidden="false" customHeight="false" outlineLevel="0" collapsed="false">
      <c r="A17" s="2" t="s">
        <v>1092</v>
      </c>
      <c r="B17" s="2" t="s">
        <v>522</v>
      </c>
      <c r="C17" s="6" t="n">
        <v>45114</v>
      </c>
      <c r="D17" s="2" t="s">
        <v>30</v>
      </c>
      <c r="E17" s="2" t="s">
        <v>1080</v>
      </c>
      <c r="F17" s="2" t="s">
        <v>1067</v>
      </c>
      <c r="G17" s="2" t="s">
        <v>1068</v>
      </c>
      <c r="H17" s="2" t="s">
        <v>37</v>
      </c>
      <c r="I17" s="2" t="s">
        <v>1093</v>
      </c>
    </row>
    <row r="18" customFormat="false" ht="15" hidden="false" customHeight="false" outlineLevel="0" collapsed="false">
      <c r="A18" s="2" t="s">
        <v>1094</v>
      </c>
      <c r="B18" s="2" t="s">
        <v>252</v>
      </c>
      <c r="C18" s="6" t="n">
        <v>45119</v>
      </c>
      <c r="D18" s="2" t="s">
        <v>30</v>
      </c>
      <c r="E18" s="2" t="s">
        <v>1095</v>
      </c>
      <c r="F18" s="2" t="s">
        <v>1075</v>
      </c>
      <c r="G18" s="2" t="s">
        <v>1068</v>
      </c>
      <c r="H18" s="2" t="s">
        <v>37</v>
      </c>
      <c r="I18" s="2" t="s">
        <v>1069</v>
      </c>
    </row>
    <row r="19" customFormat="false" ht="15" hidden="false" customHeight="false" outlineLevel="0" collapsed="false">
      <c r="A19" s="2" t="s">
        <v>1096</v>
      </c>
      <c r="B19" s="2" t="s">
        <v>224</v>
      </c>
      <c r="C19" s="6" t="n">
        <v>45121</v>
      </c>
      <c r="D19" s="2" t="s">
        <v>30</v>
      </c>
      <c r="E19" s="2" t="s">
        <v>1078</v>
      </c>
      <c r="F19" s="2" t="s">
        <v>1075</v>
      </c>
      <c r="G19" s="2" t="s">
        <v>1068</v>
      </c>
      <c r="H19" s="2" t="s">
        <v>45</v>
      </c>
      <c r="I19" s="2" t="s">
        <v>1093</v>
      </c>
    </row>
    <row r="20" customFormat="false" ht="15" hidden="false" customHeight="false" outlineLevel="0" collapsed="false">
      <c r="A20" s="2" t="s">
        <v>1097</v>
      </c>
      <c r="B20" s="2" t="s">
        <v>258</v>
      </c>
      <c r="C20" s="6" t="n">
        <v>45124</v>
      </c>
      <c r="D20" s="2" t="s">
        <v>30</v>
      </c>
      <c r="E20" s="2" t="s">
        <v>1071</v>
      </c>
      <c r="F20" s="2" t="s">
        <v>1067</v>
      </c>
      <c r="G20" s="2" t="s">
        <v>1085</v>
      </c>
      <c r="H20" s="2" t="s">
        <v>67</v>
      </c>
      <c r="I20" s="2" t="s">
        <v>1069</v>
      </c>
    </row>
    <row r="21" customFormat="false" ht="15" hidden="false" customHeight="false" outlineLevel="0" collapsed="false">
      <c r="A21" s="2" t="s">
        <v>1098</v>
      </c>
      <c r="B21" s="2" t="s">
        <v>375</v>
      </c>
      <c r="C21" s="6" t="n">
        <v>45125</v>
      </c>
      <c r="D21" s="2" t="s">
        <v>30</v>
      </c>
      <c r="E21" s="2" t="s">
        <v>1099</v>
      </c>
      <c r="F21" s="2" t="s">
        <v>1075</v>
      </c>
      <c r="G21" s="2" t="s">
        <v>1068</v>
      </c>
      <c r="H21" s="2" t="s">
        <v>45</v>
      </c>
      <c r="I21" s="2" t="s">
        <v>1069</v>
      </c>
    </row>
    <row r="22" customFormat="false" ht="15" hidden="false" customHeight="false" outlineLevel="0" collapsed="false">
      <c r="A22" s="2" t="s">
        <v>1100</v>
      </c>
      <c r="B22" s="2" t="s">
        <v>359</v>
      </c>
      <c r="C22" s="6" t="n">
        <v>45127</v>
      </c>
      <c r="D22" s="2" t="s">
        <v>30</v>
      </c>
      <c r="E22" s="2" t="s">
        <v>1101</v>
      </c>
      <c r="F22" s="2" t="s">
        <v>1067</v>
      </c>
      <c r="G22" s="2" t="s">
        <v>1068</v>
      </c>
      <c r="H22" s="2" t="s">
        <v>45</v>
      </c>
      <c r="I22" s="2" t="s">
        <v>1072</v>
      </c>
    </row>
    <row r="23" customFormat="false" ht="15" hidden="false" customHeight="false" outlineLevel="0" collapsed="false">
      <c r="A23" s="2" t="s">
        <v>1102</v>
      </c>
      <c r="B23" s="2" t="s">
        <v>421</v>
      </c>
      <c r="C23" s="6" t="n">
        <v>45132</v>
      </c>
      <c r="D23" s="2" t="s">
        <v>30</v>
      </c>
      <c r="E23" s="2" t="s">
        <v>1101</v>
      </c>
      <c r="F23" s="2" t="s">
        <v>1067</v>
      </c>
      <c r="G23" s="2" t="s">
        <v>1068</v>
      </c>
      <c r="H23" s="2" t="s">
        <v>37</v>
      </c>
      <c r="I23" s="2" t="s">
        <v>1069</v>
      </c>
    </row>
    <row r="24" customFormat="false" ht="15" hidden="false" customHeight="false" outlineLevel="0" collapsed="false">
      <c r="A24" s="2" t="s">
        <v>1103</v>
      </c>
      <c r="B24" s="2" t="s">
        <v>55</v>
      </c>
      <c r="C24" s="6" t="n">
        <v>45133</v>
      </c>
      <c r="D24" s="2" t="s">
        <v>30</v>
      </c>
      <c r="E24" s="2" t="s">
        <v>1099</v>
      </c>
      <c r="F24" s="2" t="s">
        <v>1075</v>
      </c>
      <c r="G24" s="2" t="s">
        <v>1068</v>
      </c>
      <c r="H24" s="2" t="s">
        <v>57</v>
      </c>
      <c r="I24" s="2" t="s">
        <v>1072</v>
      </c>
    </row>
    <row r="25" customFormat="false" ht="15" hidden="false" customHeight="false" outlineLevel="0" collapsed="false">
      <c r="A25" s="2" t="s">
        <v>1104</v>
      </c>
      <c r="B25" s="2" t="s">
        <v>365</v>
      </c>
      <c r="C25" s="6" t="n">
        <v>45133</v>
      </c>
      <c r="D25" s="2" t="s">
        <v>30</v>
      </c>
      <c r="E25" s="2" t="s">
        <v>1090</v>
      </c>
      <c r="F25" s="2" t="s">
        <v>1067</v>
      </c>
      <c r="G25" s="2" t="s">
        <v>1068</v>
      </c>
      <c r="H25" s="2" t="s">
        <v>37</v>
      </c>
      <c r="I25" s="2" t="s">
        <v>1069</v>
      </c>
    </row>
    <row r="26" customFormat="false" ht="15" hidden="false" customHeight="false" outlineLevel="0" collapsed="false">
      <c r="A26" s="2" t="s">
        <v>1105</v>
      </c>
      <c r="B26" s="2" t="s">
        <v>127</v>
      </c>
      <c r="C26" s="6" t="n">
        <v>45134</v>
      </c>
      <c r="D26" s="2" t="s">
        <v>30</v>
      </c>
      <c r="E26" s="2" t="s">
        <v>1101</v>
      </c>
      <c r="F26" s="2" t="s">
        <v>1067</v>
      </c>
      <c r="G26" s="2" t="s">
        <v>1068</v>
      </c>
      <c r="H26" s="2" t="s">
        <v>37</v>
      </c>
      <c r="I26" s="2" t="s">
        <v>1069</v>
      </c>
    </row>
    <row r="27" customFormat="false" ht="15" hidden="false" customHeight="false" outlineLevel="0" collapsed="false">
      <c r="A27" s="2" t="s">
        <v>1106</v>
      </c>
      <c r="B27" s="2" t="s">
        <v>291</v>
      </c>
      <c r="C27" s="6" t="n">
        <v>45135</v>
      </c>
      <c r="D27" s="2" t="s">
        <v>30</v>
      </c>
      <c r="E27" s="2" t="s">
        <v>1080</v>
      </c>
      <c r="F27" s="2" t="s">
        <v>1067</v>
      </c>
      <c r="G27" s="2" t="s">
        <v>1085</v>
      </c>
      <c r="H27" s="2" t="s">
        <v>67</v>
      </c>
      <c r="I27" s="2" t="s">
        <v>1072</v>
      </c>
    </row>
    <row r="28" customFormat="false" ht="15" hidden="false" customHeight="false" outlineLevel="0" collapsed="false">
      <c r="A28" s="2" t="s">
        <v>1107</v>
      </c>
      <c r="B28" s="2" t="s">
        <v>528</v>
      </c>
      <c r="C28" s="6" t="n">
        <v>45141</v>
      </c>
      <c r="D28" s="2" t="s">
        <v>30</v>
      </c>
      <c r="E28" s="2" t="s">
        <v>1078</v>
      </c>
      <c r="F28" s="2" t="s">
        <v>1075</v>
      </c>
      <c r="G28" s="2" t="s">
        <v>1068</v>
      </c>
      <c r="H28" s="2" t="s">
        <v>57</v>
      </c>
      <c r="I28" s="2" t="s">
        <v>1069</v>
      </c>
    </row>
    <row r="29" customFormat="false" ht="15" hidden="false" customHeight="false" outlineLevel="0" collapsed="false">
      <c r="A29" s="2" t="s">
        <v>1108</v>
      </c>
      <c r="B29" s="2" t="s">
        <v>248</v>
      </c>
      <c r="C29" s="6" t="n">
        <v>45145</v>
      </c>
      <c r="D29" s="2" t="s">
        <v>30</v>
      </c>
      <c r="E29" s="2" t="s">
        <v>1101</v>
      </c>
      <c r="F29" s="2" t="s">
        <v>1067</v>
      </c>
      <c r="G29" s="2" t="s">
        <v>1068</v>
      </c>
      <c r="H29" s="2" t="s">
        <v>37</v>
      </c>
      <c r="I29" s="2" t="s">
        <v>1069</v>
      </c>
    </row>
    <row r="30" customFormat="false" ht="15" hidden="false" customHeight="false" outlineLevel="0" collapsed="false">
      <c r="A30" s="2" t="s">
        <v>1109</v>
      </c>
      <c r="B30" s="2" t="s">
        <v>440</v>
      </c>
      <c r="C30" s="6" t="n">
        <v>45145</v>
      </c>
      <c r="D30" s="2" t="s">
        <v>30</v>
      </c>
      <c r="E30" s="2" t="s">
        <v>1101</v>
      </c>
      <c r="F30" s="2" t="s">
        <v>1067</v>
      </c>
      <c r="G30" s="2" t="s">
        <v>1085</v>
      </c>
      <c r="H30" s="2" t="s">
        <v>67</v>
      </c>
      <c r="I30" s="2" t="s">
        <v>1069</v>
      </c>
    </row>
    <row r="31" customFormat="false" ht="15" hidden="false" customHeight="false" outlineLevel="0" collapsed="false">
      <c r="A31" s="2" t="s">
        <v>1110</v>
      </c>
      <c r="B31" s="2" t="s">
        <v>695</v>
      </c>
      <c r="C31" s="6" t="n">
        <v>45145</v>
      </c>
      <c r="D31" s="2" t="s">
        <v>30</v>
      </c>
      <c r="E31" s="2" t="s">
        <v>1074</v>
      </c>
      <c r="F31" s="2" t="s">
        <v>1075</v>
      </c>
      <c r="G31" s="2" t="s">
        <v>1068</v>
      </c>
      <c r="H31" s="2" t="s">
        <v>45</v>
      </c>
      <c r="I31" s="2" t="s">
        <v>1093</v>
      </c>
    </row>
    <row r="32" customFormat="false" ht="15" hidden="false" customHeight="false" outlineLevel="0" collapsed="false">
      <c r="A32" s="2" t="s">
        <v>1111</v>
      </c>
      <c r="B32" s="2" t="s">
        <v>248</v>
      </c>
      <c r="C32" s="6" t="n">
        <v>45146</v>
      </c>
      <c r="D32" s="2" t="s">
        <v>30</v>
      </c>
      <c r="E32" s="2" t="s">
        <v>1099</v>
      </c>
      <c r="F32" s="2" t="s">
        <v>1075</v>
      </c>
      <c r="G32" s="2" t="s">
        <v>1068</v>
      </c>
      <c r="H32" s="2" t="s">
        <v>37</v>
      </c>
      <c r="I32" s="2" t="s">
        <v>1093</v>
      </c>
    </row>
    <row r="33" customFormat="false" ht="15" hidden="false" customHeight="false" outlineLevel="0" collapsed="false">
      <c r="A33" s="2" t="s">
        <v>1112</v>
      </c>
      <c r="B33" s="2" t="s">
        <v>443</v>
      </c>
      <c r="C33" s="6" t="n">
        <v>45156</v>
      </c>
      <c r="D33" s="2" t="s">
        <v>30</v>
      </c>
      <c r="E33" s="2" t="s">
        <v>1066</v>
      </c>
      <c r="F33" s="2" t="s">
        <v>1067</v>
      </c>
      <c r="G33" s="2" t="s">
        <v>1068</v>
      </c>
      <c r="H33" s="2" t="s">
        <v>57</v>
      </c>
      <c r="I33" s="2" t="s">
        <v>1093</v>
      </c>
    </row>
    <row r="34" customFormat="false" ht="15" hidden="false" customHeight="false" outlineLevel="0" collapsed="false">
      <c r="A34" s="2" t="s">
        <v>1113</v>
      </c>
      <c r="B34" s="2" t="s">
        <v>230</v>
      </c>
      <c r="C34" s="6" t="n">
        <v>45160</v>
      </c>
      <c r="D34" s="2" t="s">
        <v>30</v>
      </c>
      <c r="E34" s="2" t="s">
        <v>1114</v>
      </c>
      <c r="F34" s="2" t="s">
        <v>1075</v>
      </c>
      <c r="G34" s="2" t="s">
        <v>1068</v>
      </c>
      <c r="H34" s="2" t="s">
        <v>57</v>
      </c>
      <c r="I34" s="2" t="s">
        <v>1072</v>
      </c>
    </row>
    <row r="35" customFormat="false" ht="15" hidden="false" customHeight="false" outlineLevel="0" collapsed="false">
      <c r="A35" s="2" t="s">
        <v>1115</v>
      </c>
      <c r="B35" s="2" t="s">
        <v>411</v>
      </c>
      <c r="C35" s="6" t="n">
        <v>45160</v>
      </c>
      <c r="D35" s="2" t="s">
        <v>30</v>
      </c>
      <c r="E35" s="2" t="s">
        <v>1080</v>
      </c>
      <c r="F35" s="2" t="s">
        <v>1067</v>
      </c>
      <c r="G35" s="2" t="s">
        <v>1068</v>
      </c>
      <c r="H35" s="2" t="s">
        <v>45</v>
      </c>
      <c r="I35" s="2" t="s">
        <v>1072</v>
      </c>
    </row>
    <row r="36" customFormat="false" ht="15" hidden="false" customHeight="false" outlineLevel="0" collapsed="false">
      <c r="A36" s="2" t="s">
        <v>1116</v>
      </c>
      <c r="B36" s="2" t="s">
        <v>526</v>
      </c>
      <c r="C36" s="6" t="n">
        <v>45161</v>
      </c>
      <c r="D36" s="2" t="s">
        <v>30</v>
      </c>
      <c r="E36" s="2" t="s">
        <v>1066</v>
      </c>
      <c r="F36" s="2" t="s">
        <v>1067</v>
      </c>
      <c r="G36" s="2" t="s">
        <v>1068</v>
      </c>
      <c r="H36" s="2" t="s">
        <v>37</v>
      </c>
      <c r="I36" s="2" t="s">
        <v>1072</v>
      </c>
    </row>
    <row r="37" customFormat="false" ht="15" hidden="false" customHeight="false" outlineLevel="0" collapsed="false">
      <c r="A37" s="2" t="s">
        <v>1117</v>
      </c>
      <c r="B37" s="2" t="s">
        <v>311</v>
      </c>
      <c r="C37" s="6" t="n">
        <v>45162</v>
      </c>
      <c r="D37" s="2" t="s">
        <v>30</v>
      </c>
      <c r="E37" s="2" t="s">
        <v>1074</v>
      </c>
      <c r="F37" s="2" t="s">
        <v>1075</v>
      </c>
      <c r="G37" s="2" t="s">
        <v>1068</v>
      </c>
      <c r="H37" s="2" t="s">
        <v>57</v>
      </c>
      <c r="I37" s="2" t="s">
        <v>1069</v>
      </c>
    </row>
    <row r="38" customFormat="false" ht="15" hidden="false" customHeight="false" outlineLevel="0" collapsed="false">
      <c r="A38" s="2" t="s">
        <v>1118</v>
      </c>
      <c r="B38" s="2" t="s">
        <v>85</v>
      </c>
      <c r="C38" s="6" t="n">
        <v>45163</v>
      </c>
      <c r="D38" s="2" t="s">
        <v>30</v>
      </c>
      <c r="E38" s="2" t="s">
        <v>1090</v>
      </c>
      <c r="F38" s="2" t="s">
        <v>1067</v>
      </c>
      <c r="G38" s="2" t="s">
        <v>1085</v>
      </c>
      <c r="H38" s="2" t="s">
        <v>67</v>
      </c>
      <c r="I38" s="2" t="s">
        <v>1072</v>
      </c>
    </row>
    <row r="39" customFormat="false" ht="15" hidden="false" customHeight="false" outlineLevel="0" collapsed="false">
      <c r="A39" s="2" t="s">
        <v>1119</v>
      </c>
      <c r="B39" s="2" t="s">
        <v>85</v>
      </c>
      <c r="C39" s="6" t="n">
        <v>45166</v>
      </c>
      <c r="D39" s="2" t="s">
        <v>30</v>
      </c>
      <c r="E39" s="2" t="s">
        <v>1095</v>
      </c>
      <c r="F39" s="2" t="s">
        <v>1075</v>
      </c>
      <c r="G39" s="2" t="s">
        <v>1068</v>
      </c>
      <c r="H39" s="2" t="s">
        <v>57</v>
      </c>
      <c r="I39" s="2" t="s">
        <v>1072</v>
      </c>
    </row>
    <row r="40" customFormat="false" ht="15" hidden="false" customHeight="false" outlineLevel="0" collapsed="false">
      <c r="A40" s="2" t="s">
        <v>1120</v>
      </c>
      <c r="B40" s="2" t="s">
        <v>554</v>
      </c>
      <c r="C40" s="6" t="n">
        <v>45166</v>
      </c>
      <c r="D40" s="2" t="s">
        <v>30</v>
      </c>
      <c r="E40" s="2" t="s">
        <v>1080</v>
      </c>
      <c r="F40" s="2" t="s">
        <v>1067</v>
      </c>
      <c r="G40" s="2" t="s">
        <v>1085</v>
      </c>
      <c r="H40" s="2" t="s">
        <v>67</v>
      </c>
      <c r="I40" s="2" t="s">
        <v>1072</v>
      </c>
    </row>
    <row r="41" customFormat="false" ht="15" hidden="false" customHeight="false" outlineLevel="0" collapsed="false">
      <c r="A41" s="2" t="s">
        <v>1121</v>
      </c>
      <c r="B41" s="2" t="s">
        <v>29</v>
      </c>
      <c r="C41" s="6" t="n">
        <v>45167</v>
      </c>
      <c r="D41" s="2" t="s">
        <v>30</v>
      </c>
      <c r="E41" s="2" t="s">
        <v>1080</v>
      </c>
      <c r="F41" s="2" t="s">
        <v>1067</v>
      </c>
      <c r="G41" s="2" t="s">
        <v>1068</v>
      </c>
      <c r="H41" s="2" t="s">
        <v>37</v>
      </c>
      <c r="I41" s="2" t="s">
        <v>1072</v>
      </c>
    </row>
    <row r="42" customFormat="false" ht="15" hidden="false" customHeight="false" outlineLevel="0" collapsed="false">
      <c r="A42" s="2" t="s">
        <v>1122</v>
      </c>
      <c r="B42" s="2" t="s">
        <v>627</v>
      </c>
      <c r="C42" s="6" t="n">
        <v>45167</v>
      </c>
      <c r="D42" s="2" t="s">
        <v>30</v>
      </c>
      <c r="E42" s="2" t="s">
        <v>1101</v>
      </c>
      <c r="F42" s="2" t="s">
        <v>1067</v>
      </c>
      <c r="G42" s="2" t="s">
        <v>1085</v>
      </c>
      <c r="H42" s="2" t="s">
        <v>67</v>
      </c>
      <c r="I42" s="2" t="s">
        <v>1069</v>
      </c>
    </row>
    <row r="43" customFormat="false" ht="15" hidden="false" customHeight="false" outlineLevel="0" collapsed="false">
      <c r="A43" s="2" t="s">
        <v>1123</v>
      </c>
      <c r="B43" s="2" t="s">
        <v>163</v>
      </c>
      <c r="C43" s="6" t="n">
        <v>45168</v>
      </c>
      <c r="D43" s="2" t="s">
        <v>30</v>
      </c>
      <c r="E43" s="2" t="s">
        <v>1101</v>
      </c>
      <c r="F43" s="2" t="s">
        <v>1067</v>
      </c>
      <c r="G43" s="2" t="s">
        <v>1085</v>
      </c>
      <c r="H43" s="2" t="s">
        <v>67</v>
      </c>
      <c r="I43" s="2" t="s">
        <v>1072</v>
      </c>
    </row>
    <row r="44" customFormat="false" ht="15" hidden="false" customHeight="false" outlineLevel="0" collapsed="false">
      <c r="A44" s="2" t="s">
        <v>1124</v>
      </c>
      <c r="B44" s="2" t="s">
        <v>707</v>
      </c>
      <c r="C44" s="6" t="n">
        <v>45168</v>
      </c>
      <c r="D44" s="2" t="s">
        <v>30</v>
      </c>
      <c r="E44" s="2" t="s">
        <v>1078</v>
      </c>
      <c r="F44" s="2" t="s">
        <v>1075</v>
      </c>
      <c r="G44" s="2" t="s">
        <v>1068</v>
      </c>
      <c r="H44" s="2" t="s">
        <v>45</v>
      </c>
      <c r="I44" s="2" t="s">
        <v>1069</v>
      </c>
    </row>
    <row r="45" customFormat="false" ht="15" hidden="false" customHeight="false" outlineLevel="0" collapsed="false">
      <c r="A45" s="2" t="s">
        <v>1125</v>
      </c>
      <c r="B45" s="2" t="s">
        <v>106</v>
      </c>
      <c r="C45" s="6" t="n">
        <v>45170</v>
      </c>
      <c r="D45" s="2" t="s">
        <v>30</v>
      </c>
      <c r="E45" s="2" t="s">
        <v>1071</v>
      </c>
      <c r="F45" s="2" t="s">
        <v>1067</v>
      </c>
      <c r="G45" s="2" t="s">
        <v>1068</v>
      </c>
      <c r="H45" s="2" t="s">
        <v>37</v>
      </c>
      <c r="I45" s="2" t="s">
        <v>1093</v>
      </c>
    </row>
    <row r="46" customFormat="false" ht="15" hidden="false" customHeight="false" outlineLevel="0" collapsed="false">
      <c r="A46" s="2" t="s">
        <v>1126</v>
      </c>
      <c r="B46" s="2" t="s">
        <v>389</v>
      </c>
      <c r="C46" s="6" t="n">
        <v>45170</v>
      </c>
      <c r="D46" s="2" t="s">
        <v>30</v>
      </c>
      <c r="E46" s="2" t="s">
        <v>1078</v>
      </c>
      <c r="F46" s="2" t="s">
        <v>1075</v>
      </c>
      <c r="G46" s="2" t="s">
        <v>1068</v>
      </c>
      <c r="H46" s="2" t="s">
        <v>45</v>
      </c>
      <c r="I46" s="2" t="s">
        <v>1072</v>
      </c>
    </row>
    <row r="47" customFormat="false" ht="15" hidden="false" customHeight="false" outlineLevel="0" collapsed="false">
      <c r="A47" s="2" t="s">
        <v>1127</v>
      </c>
      <c r="B47" s="2" t="s">
        <v>328</v>
      </c>
      <c r="C47" s="6" t="n">
        <v>45174</v>
      </c>
      <c r="D47" s="2" t="s">
        <v>30</v>
      </c>
      <c r="E47" s="2" t="s">
        <v>1074</v>
      </c>
      <c r="F47" s="2" t="s">
        <v>1075</v>
      </c>
      <c r="G47" s="2" t="s">
        <v>1068</v>
      </c>
      <c r="H47" s="2" t="s">
        <v>57</v>
      </c>
      <c r="I47" s="2" t="s">
        <v>1072</v>
      </c>
    </row>
    <row r="48" customFormat="false" ht="15" hidden="false" customHeight="false" outlineLevel="0" collapsed="false">
      <c r="A48" s="2" t="s">
        <v>1128</v>
      </c>
      <c r="B48" s="2" t="s">
        <v>139</v>
      </c>
      <c r="C48" s="6" t="n">
        <v>45175</v>
      </c>
      <c r="D48" s="2" t="s">
        <v>30</v>
      </c>
      <c r="E48" s="2" t="s">
        <v>1080</v>
      </c>
      <c r="F48" s="2" t="s">
        <v>1067</v>
      </c>
      <c r="G48" s="2" t="s">
        <v>1068</v>
      </c>
      <c r="H48" s="2" t="s">
        <v>37</v>
      </c>
      <c r="I48" s="2" t="s">
        <v>1069</v>
      </c>
    </row>
    <row r="49" customFormat="false" ht="15" hidden="false" customHeight="false" outlineLevel="0" collapsed="false">
      <c r="A49" s="2" t="s">
        <v>1129</v>
      </c>
      <c r="B49" s="2" t="s">
        <v>621</v>
      </c>
      <c r="C49" s="6" t="n">
        <v>45176</v>
      </c>
      <c r="D49" s="2" t="s">
        <v>30</v>
      </c>
      <c r="E49" s="2" t="s">
        <v>1095</v>
      </c>
      <c r="F49" s="2" t="s">
        <v>1075</v>
      </c>
      <c r="G49" s="2" t="s">
        <v>1068</v>
      </c>
      <c r="H49" s="2" t="s">
        <v>45</v>
      </c>
      <c r="I49" s="2" t="s">
        <v>1093</v>
      </c>
    </row>
    <row r="50" customFormat="false" ht="15" hidden="false" customHeight="false" outlineLevel="0" collapsed="false">
      <c r="A50" s="2" t="s">
        <v>1130</v>
      </c>
      <c r="B50" s="2" t="s">
        <v>587</v>
      </c>
      <c r="C50" s="6" t="n">
        <v>45180</v>
      </c>
      <c r="D50" s="2" t="s">
        <v>30</v>
      </c>
      <c r="E50" s="2" t="s">
        <v>1066</v>
      </c>
      <c r="F50" s="2" t="s">
        <v>1067</v>
      </c>
      <c r="G50" s="2" t="s">
        <v>1068</v>
      </c>
      <c r="H50" s="2" t="s">
        <v>45</v>
      </c>
      <c r="I50" s="2" t="s">
        <v>1072</v>
      </c>
    </row>
    <row r="51" customFormat="false" ht="15" hidden="false" customHeight="false" outlineLevel="0" collapsed="false">
      <c r="A51" s="2" t="s">
        <v>1131</v>
      </c>
      <c r="B51" s="2" t="s">
        <v>51</v>
      </c>
      <c r="C51" s="6" t="n">
        <v>45182</v>
      </c>
      <c r="D51" s="2" t="s">
        <v>30</v>
      </c>
      <c r="E51" s="2" t="s">
        <v>1090</v>
      </c>
      <c r="F51" s="2" t="s">
        <v>1067</v>
      </c>
      <c r="G51" s="2" t="s">
        <v>1068</v>
      </c>
      <c r="H51" s="2" t="s">
        <v>37</v>
      </c>
      <c r="I51" s="2" t="s">
        <v>1072</v>
      </c>
    </row>
    <row r="52" customFormat="false" ht="15" hidden="false" customHeight="false" outlineLevel="0" collapsed="false">
      <c r="A52" s="2" t="s">
        <v>1132</v>
      </c>
      <c r="B52" s="2" t="s">
        <v>453</v>
      </c>
      <c r="C52" s="6" t="n">
        <v>45182</v>
      </c>
      <c r="D52" s="2" t="s">
        <v>30</v>
      </c>
      <c r="E52" s="2" t="s">
        <v>1071</v>
      </c>
      <c r="F52" s="2" t="s">
        <v>1067</v>
      </c>
      <c r="G52" s="2" t="s">
        <v>1085</v>
      </c>
      <c r="H52" s="2" t="s">
        <v>67</v>
      </c>
      <c r="I52" s="2" t="s">
        <v>1069</v>
      </c>
    </row>
    <row r="53" customFormat="false" ht="15" hidden="false" customHeight="false" outlineLevel="0" collapsed="false">
      <c r="A53" s="2" t="s">
        <v>1133</v>
      </c>
      <c r="B53" s="2" t="s">
        <v>682</v>
      </c>
      <c r="C53" s="6" t="n">
        <v>45183</v>
      </c>
      <c r="D53" s="2" t="s">
        <v>30</v>
      </c>
      <c r="E53" s="2" t="s">
        <v>1101</v>
      </c>
      <c r="F53" s="2" t="s">
        <v>1067</v>
      </c>
      <c r="G53" s="2" t="s">
        <v>1068</v>
      </c>
      <c r="H53" s="2" t="s">
        <v>45</v>
      </c>
      <c r="I53" s="2" t="s">
        <v>1072</v>
      </c>
    </row>
    <row r="54" customFormat="false" ht="15" hidden="false" customHeight="false" outlineLevel="0" collapsed="false">
      <c r="A54" s="2" t="s">
        <v>1134</v>
      </c>
      <c r="B54" s="2" t="s">
        <v>314</v>
      </c>
      <c r="C54" s="6" t="n">
        <v>45184</v>
      </c>
      <c r="D54" s="2" t="s">
        <v>30</v>
      </c>
      <c r="E54" s="2" t="s">
        <v>1114</v>
      </c>
      <c r="F54" s="2" t="s">
        <v>1075</v>
      </c>
      <c r="G54" s="2" t="s">
        <v>1068</v>
      </c>
      <c r="H54" s="2" t="s">
        <v>37</v>
      </c>
      <c r="I54" s="2" t="s">
        <v>1069</v>
      </c>
    </row>
    <row r="55" customFormat="false" ht="15" hidden="false" customHeight="false" outlineLevel="0" collapsed="false">
      <c r="A55" s="2" t="s">
        <v>1135</v>
      </c>
      <c r="B55" s="2" t="s">
        <v>618</v>
      </c>
      <c r="C55" s="6" t="n">
        <v>45184</v>
      </c>
      <c r="D55" s="2" t="s">
        <v>30</v>
      </c>
      <c r="E55" s="2" t="s">
        <v>1114</v>
      </c>
      <c r="F55" s="2" t="s">
        <v>1075</v>
      </c>
      <c r="G55" s="2" t="s">
        <v>1068</v>
      </c>
      <c r="H55" s="2" t="s">
        <v>45</v>
      </c>
      <c r="I55" s="2" t="s">
        <v>1069</v>
      </c>
    </row>
    <row r="56" customFormat="false" ht="15" hidden="false" customHeight="false" outlineLevel="0" collapsed="false">
      <c r="A56" s="2" t="s">
        <v>1136</v>
      </c>
      <c r="B56" s="2" t="s">
        <v>459</v>
      </c>
      <c r="C56" s="6" t="n">
        <v>45188</v>
      </c>
      <c r="D56" s="2" t="s">
        <v>30</v>
      </c>
      <c r="E56" s="2" t="s">
        <v>1095</v>
      </c>
      <c r="F56" s="2" t="s">
        <v>1075</v>
      </c>
      <c r="G56" s="2" t="s">
        <v>1068</v>
      </c>
      <c r="H56" s="2" t="s">
        <v>57</v>
      </c>
      <c r="I56" s="2" t="s">
        <v>1069</v>
      </c>
    </row>
    <row r="57" customFormat="false" ht="15" hidden="false" customHeight="false" outlineLevel="0" collapsed="false">
      <c r="A57" s="2" t="s">
        <v>1137</v>
      </c>
      <c r="B57" s="2" t="s">
        <v>707</v>
      </c>
      <c r="C57" s="6" t="n">
        <v>45188</v>
      </c>
      <c r="D57" s="2" t="s">
        <v>30</v>
      </c>
      <c r="E57" s="2" t="s">
        <v>1071</v>
      </c>
      <c r="F57" s="2" t="s">
        <v>1067</v>
      </c>
      <c r="G57" s="2" t="s">
        <v>1068</v>
      </c>
      <c r="H57" s="2" t="s">
        <v>45</v>
      </c>
      <c r="I57" s="2" t="s">
        <v>1069</v>
      </c>
    </row>
    <row r="58" customFormat="false" ht="15" hidden="false" customHeight="false" outlineLevel="0" collapsed="false">
      <c r="A58" s="2" t="s">
        <v>1138</v>
      </c>
      <c r="B58" s="2" t="s">
        <v>214</v>
      </c>
      <c r="C58" s="6" t="n">
        <v>45189</v>
      </c>
      <c r="D58" s="2" t="s">
        <v>30</v>
      </c>
      <c r="E58" s="2" t="s">
        <v>1066</v>
      </c>
      <c r="F58" s="2" t="s">
        <v>1067</v>
      </c>
      <c r="G58" s="2" t="s">
        <v>1068</v>
      </c>
      <c r="H58" s="2" t="s">
        <v>37</v>
      </c>
      <c r="I58" s="2" t="s">
        <v>1069</v>
      </c>
    </row>
    <row r="59" customFormat="false" ht="15" hidden="false" customHeight="false" outlineLevel="0" collapsed="false">
      <c r="A59" s="2" t="s">
        <v>1139</v>
      </c>
      <c r="B59" s="2" t="s">
        <v>308</v>
      </c>
      <c r="C59" s="6" t="n">
        <v>45190</v>
      </c>
      <c r="D59" s="2" t="s">
        <v>30</v>
      </c>
      <c r="E59" s="2" t="s">
        <v>1099</v>
      </c>
      <c r="F59" s="2" t="s">
        <v>1075</v>
      </c>
      <c r="G59" s="2" t="s">
        <v>1068</v>
      </c>
      <c r="H59" s="2" t="s">
        <v>37</v>
      </c>
      <c r="I59" s="2" t="s">
        <v>1072</v>
      </c>
    </row>
    <row r="60" customFormat="false" ht="15" hidden="false" customHeight="false" outlineLevel="0" collapsed="false">
      <c r="A60" s="2" t="s">
        <v>1140</v>
      </c>
      <c r="B60" s="2" t="s">
        <v>702</v>
      </c>
      <c r="C60" s="6" t="n">
        <v>45190</v>
      </c>
      <c r="D60" s="2" t="s">
        <v>30</v>
      </c>
      <c r="E60" s="2" t="s">
        <v>1114</v>
      </c>
      <c r="F60" s="2" t="s">
        <v>1075</v>
      </c>
      <c r="G60" s="2" t="s">
        <v>1068</v>
      </c>
      <c r="H60" s="2" t="s">
        <v>37</v>
      </c>
      <c r="I60" s="2" t="s">
        <v>1069</v>
      </c>
    </row>
    <row r="61" customFormat="false" ht="15" hidden="false" customHeight="false" outlineLevel="0" collapsed="false">
      <c r="A61" s="2" t="s">
        <v>1141</v>
      </c>
      <c r="B61" s="2" t="s">
        <v>745</v>
      </c>
      <c r="C61" s="6" t="n">
        <v>45190</v>
      </c>
      <c r="D61" s="2" t="s">
        <v>30</v>
      </c>
      <c r="E61" s="2" t="s">
        <v>1066</v>
      </c>
      <c r="F61" s="2" t="s">
        <v>1067</v>
      </c>
      <c r="G61" s="2" t="s">
        <v>1085</v>
      </c>
      <c r="H61" s="2" t="s">
        <v>67</v>
      </c>
      <c r="I61" s="2" t="s">
        <v>1072</v>
      </c>
    </row>
    <row r="62" customFormat="false" ht="15" hidden="false" customHeight="false" outlineLevel="0" collapsed="false">
      <c r="A62" s="2" t="s">
        <v>1142</v>
      </c>
      <c r="B62" s="2" t="s">
        <v>600</v>
      </c>
      <c r="C62" s="6" t="n">
        <v>45195</v>
      </c>
      <c r="D62" s="2" t="s">
        <v>30</v>
      </c>
      <c r="E62" s="2" t="s">
        <v>1071</v>
      </c>
      <c r="F62" s="2" t="s">
        <v>1067</v>
      </c>
      <c r="G62" s="2" t="s">
        <v>1068</v>
      </c>
      <c r="H62" s="2" t="s">
        <v>37</v>
      </c>
      <c r="I62" s="2" t="s">
        <v>1069</v>
      </c>
    </row>
    <row r="63" customFormat="false" ht="15" hidden="false" customHeight="false" outlineLevel="0" collapsed="false">
      <c r="A63" s="2" t="s">
        <v>1143</v>
      </c>
      <c r="B63" s="2" t="s">
        <v>453</v>
      </c>
      <c r="C63" s="6" t="n">
        <v>45197</v>
      </c>
      <c r="D63" s="2" t="s">
        <v>30</v>
      </c>
      <c r="E63" s="2" t="s">
        <v>1114</v>
      </c>
      <c r="F63" s="2" t="s">
        <v>1075</v>
      </c>
      <c r="G63" s="2" t="s">
        <v>1068</v>
      </c>
      <c r="H63" s="2" t="s">
        <v>57</v>
      </c>
      <c r="I63" s="2" t="s">
        <v>1072</v>
      </c>
    </row>
    <row r="64" customFormat="false" ht="15" hidden="false" customHeight="false" outlineLevel="0" collapsed="false">
      <c r="A64" s="2" t="s">
        <v>1144</v>
      </c>
      <c r="B64" s="2" t="s">
        <v>577</v>
      </c>
      <c r="C64" s="6" t="n">
        <v>45197</v>
      </c>
      <c r="D64" s="2" t="s">
        <v>30</v>
      </c>
      <c r="E64" s="2" t="s">
        <v>1074</v>
      </c>
      <c r="F64" s="2" t="s">
        <v>1075</v>
      </c>
      <c r="G64" s="2" t="s">
        <v>1068</v>
      </c>
      <c r="H64" s="2" t="s">
        <v>37</v>
      </c>
      <c r="I64" s="2" t="s">
        <v>1093</v>
      </c>
    </row>
    <row r="65" customFormat="false" ht="15" hidden="false" customHeight="false" outlineLevel="0" collapsed="false">
      <c r="A65" s="2" t="s">
        <v>1145</v>
      </c>
      <c r="B65" s="2" t="s">
        <v>217</v>
      </c>
      <c r="C65" s="6" t="n">
        <v>45198</v>
      </c>
      <c r="D65" s="2" t="s">
        <v>30</v>
      </c>
      <c r="E65" s="2" t="s">
        <v>1114</v>
      </c>
      <c r="F65" s="2" t="s">
        <v>1075</v>
      </c>
      <c r="G65" s="2" t="s">
        <v>1068</v>
      </c>
      <c r="H65" s="2" t="s">
        <v>45</v>
      </c>
      <c r="I65" s="2" t="s">
        <v>1072</v>
      </c>
    </row>
    <row r="66" customFormat="false" ht="15" hidden="false" customHeight="false" outlineLevel="0" collapsed="false">
      <c r="A66" s="2" t="s">
        <v>1146</v>
      </c>
      <c r="B66" s="2" t="s">
        <v>591</v>
      </c>
      <c r="C66" s="6" t="n">
        <v>45198</v>
      </c>
      <c r="D66" s="2" t="s">
        <v>30</v>
      </c>
      <c r="E66" s="2" t="s">
        <v>1090</v>
      </c>
      <c r="F66" s="2" t="s">
        <v>1067</v>
      </c>
      <c r="G66" s="2" t="s">
        <v>1085</v>
      </c>
      <c r="H66" s="2" t="s">
        <v>67</v>
      </c>
      <c r="I66" s="2" t="s">
        <v>1069</v>
      </c>
    </row>
    <row r="67" customFormat="false" ht="15" hidden="false" customHeight="false" outlineLevel="0" collapsed="false">
      <c r="A67" s="2" t="s">
        <v>1147</v>
      </c>
      <c r="B67" s="2" t="s">
        <v>755</v>
      </c>
      <c r="C67" s="6" t="n">
        <v>45198</v>
      </c>
      <c r="D67" s="2" t="s">
        <v>30</v>
      </c>
      <c r="E67" s="2" t="s">
        <v>1066</v>
      </c>
      <c r="F67" s="2" t="s">
        <v>1067</v>
      </c>
      <c r="G67" s="2" t="s">
        <v>1068</v>
      </c>
      <c r="H67" s="2" t="s">
        <v>45</v>
      </c>
      <c r="I67" s="2" t="s">
        <v>1072</v>
      </c>
    </row>
    <row r="68" customFormat="false" ht="15" hidden="false" customHeight="false" outlineLevel="0" collapsed="false">
      <c r="A68" s="2" t="s">
        <v>1148</v>
      </c>
      <c r="B68" s="2" t="s">
        <v>336</v>
      </c>
      <c r="C68" s="6" t="n">
        <v>45201</v>
      </c>
      <c r="D68" s="2" t="s">
        <v>30</v>
      </c>
      <c r="E68" s="2" t="s">
        <v>1080</v>
      </c>
      <c r="F68" s="2" t="s">
        <v>1067</v>
      </c>
      <c r="G68" s="2" t="s">
        <v>1068</v>
      </c>
      <c r="H68" s="2" t="s">
        <v>37</v>
      </c>
      <c r="I68" s="2" t="s">
        <v>1069</v>
      </c>
    </row>
    <row r="69" customFormat="false" ht="15" hidden="false" customHeight="false" outlineLevel="0" collapsed="false">
      <c r="A69" s="2" t="s">
        <v>1149</v>
      </c>
      <c r="B69" s="2" t="s">
        <v>344</v>
      </c>
      <c r="C69" s="6" t="n">
        <v>45202</v>
      </c>
      <c r="D69" s="2" t="s">
        <v>30</v>
      </c>
      <c r="E69" s="2" t="s">
        <v>1114</v>
      </c>
      <c r="F69" s="2" t="s">
        <v>1075</v>
      </c>
      <c r="G69" s="2" t="s">
        <v>1068</v>
      </c>
      <c r="H69" s="2" t="s">
        <v>37</v>
      </c>
      <c r="I69" s="2" t="s">
        <v>1072</v>
      </c>
    </row>
    <row r="70" customFormat="false" ht="15" hidden="false" customHeight="false" outlineLevel="0" collapsed="false">
      <c r="A70" s="2" t="s">
        <v>1150</v>
      </c>
      <c r="B70" s="2" t="s">
        <v>731</v>
      </c>
      <c r="C70" s="6" t="n">
        <v>45203</v>
      </c>
      <c r="D70" s="2" t="s">
        <v>30</v>
      </c>
      <c r="E70" s="2" t="s">
        <v>1080</v>
      </c>
      <c r="F70" s="2" t="s">
        <v>1067</v>
      </c>
      <c r="G70" s="2" t="s">
        <v>1068</v>
      </c>
      <c r="H70" s="2" t="s">
        <v>45</v>
      </c>
      <c r="I70" s="2" t="s">
        <v>1069</v>
      </c>
    </row>
    <row r="71" customFormat="false" ht="15" hidden="false" customHeight="false" outlineLevel="0" collapsed="false">
      <c r="A71" s="2" t="s">
        <v>1151</v>
      </c>
      <c r="B71" s="2" t="s">
        <v>528</v>
      </c>
      <c r="C71" s="6" t="n">
        <v>45205</v>
      </c>
      <c r="D71" s="2" t="s">
        <v>30</v>
      </c>
      <c r="E71" s="2" t="s">
        <v>1066</v>
      </c>
      <c r="F71" s="2" t="s">
        <v>1067</v>
      </c>
      <c r="G71" s="2" t="s">
        <v>1068</v>
      </c>
      <c r="H71" s="2" t="s">
        <v>45</v>
      </c>
      <c r="I71" s="2" t="s">
        <v>1069</v>
      </c>
    </row>
    <row r="72" customFormat="false" ht="15" hidden="false" customHeight="false" outlineLevel="0" collapsed="false">
      <c r="A72" s="2" t="s">
        <v>1152</v>
      </c>
      <c r="B72" s="2" t="s">
        <v>389</v>
      </c>
      <c r="C72" s="6" t="n">
        <v>45210</v>
      </c>
      <c r="D72" s="2" t="s">
        <v>30</v>
      </c>
      <c r="E72" s="2" t="s">
        <v>1071</v>
      </c>
      <c r="F72" s="2" t="s">
        <v>1067</v>
      </c>
      <c r="G72" s="2" t="s">
        <v>1068</v>
      </c>
      <c r="H72" s="2" t="s">
        <v>57</v>
      </c>
      <c r="I72" s="2" t="s">
        <v>1093</v>
      </c>
    </row>
    <row r="73" customFormat="false" ht="15" hidden="false" customHeight="false" outlineLevel="0" collapsed="false">
      <c r="A73" s="2" t="s">
        <v>1153</v>
      </c>
      <c r="B73" s="2" t="s">
        <v>489</v>
      </c>
      <c r="C73" s="6" t="n">
        <v>45210</v>
      </c>
      <c r="D73" s="2" t="s">
        <v>30</v>
      </c>
      <c r="E73" s="2" t="s">
        <v>1114</v>
      </c>
      <c r="F73" s="2" t="s">
        <v>1075</v>
      </c>
      <c r="G73" s="2" t="s">
        <v>1068</v>
      </c>
      <c r="H73" s="2" t="s">
        <v>45</v>
      </c>
      <c r="I73" s="2" t="s">
        <v>1072</v>
      </c>
    </row>
    <row r="74" customFormat="false" ht="15" hidden="false" customHeight="false" outlineLevel="0" collapsed="false">
      <c r="A74" s="2" t="s">
        <v>1154</v>
      </c>
      <c r="B74" s="2" t="s">
        <v>139</v>
      </c>
      <c r="C74" s="6" t="n">
        <v>45211</v>
      </c>
      <c r="D74" s="2" t="s">
        <v>30</v>
      </c>
      <c r="E74" s="2" t="s">
        <v>1080</v>
      </c>
      <c r="F74" s="2" t="s">
        <v>1067</v>
      </c>
      <c r="G74" s="2" t="s">
        <v>1068</v>
      </c>
      <c r="H74" s="2" t="s">
        <v>57</v>
      </c>
      <c r="I74" s="2" t="s">
        <v>1069</v>
      </c>
    </row>
    <row r="75" customFormat="false" ht="15" hidden="false" customHeight="false" outlineLevel="0" collapsed="false">
      <c r="A75" s="2" t="s">
        <v>1155</v>
      </c>
      <c r="B75" s="2" t="s">
        <v>511</v>
      </c>
      <c r="C75" s="6" t="n">
        <v>45211</v>
      </c>
      <c r="D75" s="2" t="s">
        <v>30</v>
      </c>
      <c r="E75" s="2" t="s">
        <v>1095</v>
      </c>
      <c r="F75" s="2" t="s">
        <v>1075</v>
      </c>
      <c r="G75" s="2" t="s">
        <v>1068</v>
      </c>
      <c r="H75" s="2" t="s">
        <v>45</v>
      </c>
      <c r="I75" s="2" t="s">
        <v>1069</v>
      </c>
    </row>
    <row r="76" customFormat="false" ht="15" hidden="false" customHeight="false" outlineLevel="0" collapsed="false">
      <c r="A76" s="2" t="s">
        <v>1156</v>
      </c>
      <c r="B76" s="2" t="s">
        <v>401</v>
      </c>
      <c r="C76" s="6" t="n">
        <v>45212</v>
      </c>
      <c r="D76" s="2" t="s">
        <v>30</v>
      </c>
      <c r="E76" s="2" t="s">
        <v>1080</v>
      </c>
      <c r="F76" s="2" t="s">
        <v>1067</v>
      </c>
      <c r="G76" s="2" t="s">
        <v>1068</v>
      </c>
      <c r="H76" s="2" t="s">
        <v>45</v>
      </c>
      <c r="I76" s="2" t="s">
        <v>1069</v>
      </c>
    </row>
    <row r="77" customFormat="false" ht="15" hidden="false" customHeight="false" outlineLevel="0" collapsed="false">
      <c r="A77" s="2" t="s">
        <v>1157</v>
      </c>
      <c r="B77" s="2" t="s">
        <v>508</v>
      </c>
      <c r="C77" s="6" t="n">
        <v>45212</v>
      </c>
      <c r="D77" s="2" t="s">
        <v>30</v>
      </c>
      <c r="E77" s="2" t="s">
        <v>1074</v>
      </c>
      <c r="F77" s="2" t="s">
        <v>1075</v>
      </c>
      <c r="G77" s="2" t="s">
        <v>1068</v>
      </c>
      <c r="H77" s="2" t="s">
        <v>45</v>
      </c>
      <c r="I77" s="2" t="s">
        <v>1093</v>
      </c>
    </row>
    <row r="78" customFormat="false" ht="15" hidden="false" customHeight="false" outlineLevel="0" collapsed="false">
      <c r="A78" s="2" t="s">
        <v>1158</v>
      </c>
      <c r="B78" s="2" t="s">
        <v>120</v>
      </c>
      <c r="C78" s="6" t="n">
        <v>45217</v>
      </c>
      <c r="D78" s="2" t="s">
        <v>30</v>
      </c>
      <c r="E78" s="2" t="s">
        <v>1095</v>
      </c>
      <c r="F78" s="2" t="s">
        <v>1075</v>
      </c>
      <c r="G78" s="2" t="s">
        <v>1068</v>
      </c>
      <c r="H78" s="2" t="s">
        <v>45</v>
      </c>
      <c r="I78" s="2" t="s">
        <v>1069</v>
      </c>
    </row>
    <row r="79" customFormat="false" ht="15" hidden="false" customHeight="false" outlineLevel="0" collapsed="false">
      <c r="A79" s="2" t="s">
        <v>1159</v>
      </c>
      <c r="B79" s="2" t="s">
        <v>98</v>
      </c>
      <c r="C79" s="6" t="n">
        <v>45223</v>
      </c>
      <c r="D79" s="2" t="s">
        <v>30</v>
      </c>
      <c r="E79" s="2" t="s">
        <v>1101</v>
      </c>
      <c r="F79" s="2" t="s">
        <v>1067</v>
      </c>
      <c r="G79" s="2" t="s">
        <v>1068</v>
      </c>
      <c r="H79" s="2" t="s">
        <v>37</v>
      </c>
      <c r="I79" s="2" t="s">
        <v>1072</v>
      </c>
    </row>
    <row r="80" customFormat="false" ht="15" hidden="false" customHeight="false" outlineLevel="0" collapsed="false">
      <c r="A80" s="2" t="s">
        <v>1160</v>
      </c>
      <c r="B80" s="2" t="s">
        <v>274</v>
      </c>
      <c r="C80" s="6" t="n">
        <v>45223</v>
      </c>
      <c r="D80" s="2" t="s">
        <v>30</v>
      </c>
      <c r="E80" s="2" t="s">
        <v>1101</v>
      </c>
      <c r="F80" s="2" t="s">
        <v>1067</v>
      </c>
      <c r="G80" s="2" t="s">
        <v>1068</v>
      </c>
      <c r="H80" s="2" t="s">
        <v>37</v>
      </c>
      <c r="I80" s="2" t="s">
        <v>1069</v>
      </c>
    </row>
    <row r="81" customFormat="false" ht="15" hidden="false" customHeight="false" outlineLevel="0" collapsed="false">
      <c r="A81" s="2" t="s">
        <v>1161</v>
      </c>
      <c r="B81" s="2" t="s">
        <v>281</v>
      </c>
      <c r="C81" s="6" t="n">
        <v>45223</v>
      </c>
      <c r="D81" s="2" t="s">
        <v>30</v>
      </c>
      <c r="E81" s="2" t="s">
        <v>1071</v>
      </c>
      <c r="F81" s="2" t="s">
        <v>1067</v>
      </c>
      <c r="G81" s="2" t="s">
        <v>1068</v>
      </c>
      <c r="H81" s="2" t="s">
        <v>37</v>
      </c>
      <c r="I81" s="2" t="s">
        <v>1072</v>
      </c>
    </row>
    <row r="82" customFormat="false" ht="15" hidden="false" customHeight="false" outlineLevel="0" collapsed="false">
      <c r="A82" s="2" t="s">
        <v>1162</v>
      </c>
      <c r="B82" s="2" t="s">
        <v>248</v>
      </c>
      <c r="C82" s="6" t="n">
        <v>45224</v>
      </c>
      <c r="D82" s="2" t="s">
        <v>30</v>
      </c>
      <c r="E82" s="2" t="s">
        <v>1114</v>
      </c>
      <c r="F82" s="2" t="s">
        <v>1075</v>
      </c>
      <c r="G82" s="2" t="s">
        <v>1068</v>
      </c>
      <c r="H82" s="2" t="s">
        <v>57</v>
      </c>
      <c r="I82" s="2" t="s">
        <v>1069</v>
      </c>
    </row>
    <row r="83" customFormat="false" ht="15" hidden="false" customHeight="false" outlineLevel="0" collapsed="false">
      <c r="A83" s="2" t="s">
        <v>1163</v>
      </c>
      <c r="B83" s="2" t="s">
        <v>411</v>
      </c>
      <c r="C83" s="6" t="n">
        <v>45232</v>
      </c>
      <c r="D83" s="2" t="s">
        <v>30</v>
      </c>
      <c r="E83" s="2" t="s">
        <v>1090</v>
      </c>
      <c r="F83" s="2" t="s">
        <v>1067</v>
      </c>
      <c r="G83" s="2" t="s">
        <v>1085</v>
      </c>
      <c r="H83" s="2" t="s">
        <v>67</v>
      </c>
      <c r="I83" s="2" t="s">
        <v>1072</v>
      </c>
    </row>
    <row r="84" customFormat="false" ht="15" hidden="false" customHeight="false" outlineLevel="0" collapsed="false">
      <c r="A84" s="2" t="s">
        <v>1164</v>
      </c>
      <c r="B84" s="2" t="s">
        <v>635</v>
      </c>
      <c r="C84" s="6" t="n">
        <v>45233</v>
      </c>
      <c r="D84" s="2" t="s">
        <v>30</v>
      </c>
      <c r="E84" s="2" t="s">
        <v>1071</v>
      </c>
      <c r="F84" s="2" t="s">
        <v>1067</v>
      </c>
      <c r="G84" s="2" t="s">
        <v>1068</v>
      </c>
      <c r="H84" s="2" t="s">
        <v>45</v>
      </c>
      <c r="I84" s="2" t="s">
        <v>1072</v>
      </c>
    </row>
    <row r="85" customFormat="false" ht="15" hidden="false" customHeight="false" outlineLevel="0" collapsed="false">
      <c r="A85" s="2" t="s">
        <v>1165</v>
      </c>
      <c r="B85" s="2" t="s">
        <v>411</v>
      </c>
      <c r="C85" s="6" t="n">
        <v>45243</v>
      </c>
      <c r="D85" s="2" t="s">
        <v>30</v>
      </c>
      <c r="E85" s="2" t="s">
        <v>1114</v>
      </c>
      <c r="F85" s="2" t="s">
        <v>1075</v>
      </c>
      <c r="G85" s="2" t="s">
        <v>1068</v>
      </c>
      <c r="H85" s="2" t="s">
        <v>45</v>
      </c>
      <c r="I85" s="2" t="s">
        <v>1093</v>
      </c>
    </row>
    <row r="86" customFormat="false" ht="15" hidden="false" customHeight="false" outlineLevel="0" collapsed="false">
      <c r="A86" s="2" t="s">
        <v>1166</v>
      </c>
      <c r="B86" s="2" t="s">
        <v>602</v>
      </c>
      <c r="C86" s="6" t="n">
        <v>45243</v>
      </c>
      <c r="D86" s="2" t="s">
        <v>30</v>
      </c>
      <c r="E86" s="2" t="s">
        <v>1066</v>
      </c>
      <c r="F86" s="2" t="s">
        <v>1067</v>
      </c>
      <c r="G86" s="2" t="s">
        <v>1068</v>
      </c>
      <c r="H86" s="2" t="s">
        <v>45</v>
      </c>
      <c r="I86" s="2" t="s">
        <v>1069</v>
      </c>
    </row>
    <row r="87" customFormat="false" ht="15" hidden="false" customHeight="false" outlineLevel="0" collapsed="false">
      <c r="A87" s="2" t="s">
        <v>1167</v>
      </c>
      <c r="B87" s="2" t="s">
        <v>332</v>
      </c>
      <c r="C87" s="6" t="n">
        <v>45244</v>
      </c>
      <c r="D87" s="2" t="s">
        <v>30</v>
      </c>
      <c r="E87" s="2" t="s">
        <v>1090</v>
      </c>
      <c r="F87" s="2" t="s">
        <v>1067</v>
      </c>
      <c r="G87" s="2" t="s">
        <v>1068</v>
      </c>
      <c r="H87" s="2" t="s">
        <v>45</v>
      </c>
      <c r="I87" s="2" t="s">
        <v>1069</v>
      </c>
    </row>
    <row r="88" customFormat="false" ht="15" hidden="false" customHeight="false" outlineLevel="0" collapsed="false">
      <c r="A88" s="2" t="s">
        <v>1168</v>
      </c>
      <c r="B88" s="2" t="s">
        <v>88</v>
      </c>
      <c r="C88" s="6" t="n">
        <v>45245</v>
      </c>
      <c r="D88" s="2" t="s">
        <v>30</v>
      </c>
      <c r="E88" s="2" t="s">
        <v>1078</v>
      </c>
      <c r="F88" s="2" t="s">
        <v>1075</v>
      </c>
      <c r="G88" s="2" t="s">
        <v>1068</v>
      </c>
      <c r="H88" s="2" t="s">
        <v>45</v>
      </c>
      <c r="I88" s="2" t="s">
        <v>1069</v>
      </c>
    </row>
    <row r="89" customFormat="false" ht="15" hidden="false" customHeight="false" outlineLevel="0" collapsed="false">
      <c r="A89" s="2" t="s">
        <v>1169</v>
      </c>
      <c r="B89" s="2" t="s">
        <v>100</v>
      </c>
      <c r="C89" s="6" t="n">
        <v>45245</v>
      </c>
      <c r="D89" s="2" t="s">
        <v>30</v>
      </c>
      <c r="E89" s="2" t="s">
        <v>1101</v>
      </c>
      <c r="F89" s="2" t="s">
        <v>1067</v>
      </c>
      <c r="G89" s="2" t="s">
        <v>1068</v>
      </c>
      <c r="H89" s="2" t="s">
        <v>45</v>
      </c>
      <c r="I89" s="2" t="s">
        <v>1072</v>
      </c>
    </row>
    <row r="90" customFormat="false" ht="15" hidden="false" customHeight="false" outlineLevel="0" collapsed="false">
      <c r="A90" s="2" t="s">
        <v>1170</v>
      </c>
      <c r="B90" s="2" t="s">
        <v>157</v>
      </c>
      <c r="C90" s="6" t="n">
        <v>45245</v>
      </c>
      <c r="D90" s="2" t="s">
        <v>30</v>
      </c>
      <c r="E90" s="2" t="s">
        <v>1080</v>
      </c>
      <c r="F90" s="2" t="s">
        <v>1067</v>
      </c>
      <c r="G90" s="2" t="s">
        <v>1068</v>
      </c>
      <c r="H90" s="2" t="s">
        <v>45</v>
      </c>
      <c r="I90" s="2" t="s">
        <v>1072</v>
      </c>
    </row>
    <row r="91" customFormat="false" ht="15" hidden="false" customHeight="false" outlineLevel="0" collapsed="false">
      <c r="A91" s="2" t="s">
        <v>1171</v>
      </c>
      <c r="B91" s="2" t="s">
        <v>248</v>
      </c>
      <c r="C91" s="6" t="n">
        <v>45245</v>
      </c>
      <c r="D91" s="2" t="s">
        <v>30</v>
      </c>
      <c r="E91" s="2" t="s">
        <v>1114</v>
      </c>
      <c r="F91" s="2" t="s">
        <v>1075</v>
      </c>
      <c r="G91" s="2" t="s">
        <v>1068</v>
      </c>
      <c r="H91" s="2" t="s">
        <v>57</v>
      </c>
      <c r="I91" s="2" t="s">
        <v>1072</v>
      </c>
    </row>
    <row r="92" customFormat="false" ht="15" hidden="false" customHeight="false" outlineLevel="0" collapsed="false">
      <c r="A92" s="2" t="s">
        <v>1172</v>
      </c>
      <c r="B92" s="2" t="s">
        <v>575</v>
      </c>
      <c r="C92" s="6" t="n">
        <v>45245</v>
      </c>
      <c r="D92" s="2" t="s">
        <v>30</v>
      </c>
      <c r="E92" s="2" t="s">
        <v>1071</v>
      </c>
      <c r="F92" s="2" t="s">
        <v>1067</v>
      </c>
      <c r="G92" s="2" t="s">
        <v>1068</v>
      </c>
      <c r="H92" s="2" t="s">
        <v>37</v>
      </c>
      <c r="I92" s="2" t="s">
        <v>1093</v>
      </c>
    </row>
    <row r="93" customFormat="false" ht="15" hidden="false" customHeight="false" outlineLevel="0" collapsed="false">
      <c r="A93" s="2" t="s">
        <v>1173</v>
      </c>
      <c r="B93" s="2" t="s">
        <v>560</v>
      </c>
      <c r="C93" s="6" t="n">
        <v>45246</v>
      </c>
      <c r="D93" s="2" t="s">
        <v>30</v>
      </c>
      <c r="E93" s="2" t="s">
        <v>1099</v>
      </c>
      <c r="F93" s="2" t="s">
        <v>1075</v>
      </c>
      <c r="G93" s="2" t="s">
        <v>1068</v>
      </c>
      <c r="H93" s="2" t="s">
        <v>45</v>
      </c>
      <c r="I93" s="2" t="s">
        <v>1069</v>
      </c>
    </row>
    <row r="94" customFormat="false" ht="15" hidden="false" customHeight="false" outlineLevel="0" collapsed="false">
      <c r="A94" s="2" t="s">
        <v>1174</v>
      </c>
      <c r="B94" s="2" t="s">
        <v>436</v>
      </c>
      <c r="C94" s="6" t="n">
        <v>45247</v>
      </c>
      <c r="D94" s="2" t="s">
        <v>30</v>
      </c>
      <c r="E94" s="2" t="s">
        <v>1114</v>
      </c>
      <c r="F94" s="2" t="s">
        <v>1075</v>
      </c>
      <c r="G94" s="2" t="s">
        <v>1068</v>
      </c>
      <c r="H94" s="2" t="s">
        <v>45</v>
      </c>
      <c r="I94" s="2" t="s">
        <v>1093</v>
      </c>
    </row>
    <row r="95" customFormat="false" ht="15" hidden="false" customHeight="false" outlineLevel="0" collapsed="false">
      <c r="A95" s="2" t="s">
        <v>1175</v>
      </c>
      <c r="B95" s="2" t="s">
        <v>618</v>
      </c>
      <c r="C95" s="6" t="n">
        <v>45247</v>
      </c>
      <c r="D95" s="2" t="s">
        <v>30</v>
      </c>
      <c r="E95" s="2" t="s">
        <v>1066</v>
      </c>
      <c r="F95" s="2" t="s">
        <v>1067</v>
      </c>
      <c r="G95" s="2" t="s">
        <v>1068</v>
      </c>
      <c r="H95" s="2" t="s">
        <v>45</v>
      </c>
      <c r="I95" s="2" t="s">
        <v>1093</v>
      </c>
    </row>
    <row r="96" customFormat="false" ht="15" hidden="false" customHeight="false" outlineLevel="0" collapsed="false">
      <c r="A96" s="2" t="s">
        <v>1176</v>
      </c>
      <c r="B96" s="2" t="s">
        <v>139</v>
      </c>
      <c r="C96" s="6" t="n">
        <v>45251</v>
      </c>
      <c r="D96" s="2" t="s">
        <v>30</v>
      </c>
      <c r="E96" s="2" t="s">
        <v>1099</v>
      </c>
      <c r="F96" s="2" t="s">
        <v>1075</v>
      </c>
      <c r="G96" s="2" t="s">
        <v>1068</v>
      </c>
      <c r="H96" s="2" t="s">
        <v>57</v>
      </c>
      <c r="I96" s="2" t="s">
        <v>1069</v>
      </c>
    </row>
    <row r="97" customFormat="false" ht="15" hidden="false" customHeight="false" outlineLevel="0" collapsed="false">
      <c r="A97" s="2" t="s">
        <v>1177</v>
      </c>
      <c r="B97" s="2" t="s">
        <v>471</v>
      </c>
      <c r="C97" s="6" t="n">
        <v>45251</v>
      </c>
      <c r="D97" s="2" t="s">
        <v>30</v>
      </c>
      <c r="E97" s="2" t="s">
        <v>1101</v>
      </c>
      <c r="F97" s="2" t="s">
        <v>1067</v>
      </c>
      <c r="G97" s="2" t="s">
        <v>1068</v>
      </c>
      <c r="H97" s="2" t="s">
        <v>45</v>
      </c>
      <c r="I97" s="2" t="s">
        <v>1072</v>
      </c>
    </row>
    <row r="98" customFormat="false" ht="15" hidden="false" customHeight="false" outlineLevel="0" collapsed="false">
      <c r="A98" s="2" t="s">
        <v>1178</v>
      </c>
      <c r="B98" s="2" t="s">
        <v>463</v>
      </c>
      <c r="C98" s="6" t="n">
        <v>45252</v>
      </c>
      <c r="D98" s="2" t="s">
        <v>30</v>
      </c>
      <c r="E98" s="2" t="s">
        <v>1090</v>
      </c>
      <c r="F98" s="2" t="s">
        <v>1067</v>
      </c>
      <c r="G98" s="2" t="s">
        <v>1068</v>
      </c>
      <c r="H98" s="2" t="s">
        <v>37</v>
      </c>
      <c r="I98" s="2" t="s">
        <v>1069</v>
      </c>
    </row>
    <row r="99" customFormat="false" ht="15" hidden="false" customHeight="false" outlineLevel="0" collapsed="false">
      <c r="A99" s="2" t="s">
        <v>1179</v>
      </c>
      <c r="B99" s="2" t="s">
        <v>685</v>
      </c>
      <c r="C99" s="6" t="n">
        <v>45257</v>
      </c>
      <c r="D99" s="2" t="s">
        <v>30</v>
      </c>
      <c r="E99" s="2" t="s">
        <v>1095</v>
      </c>
      <c r="F99" s="2" t="s">
        <v>1075</v>
      </c>
      <c r="G99" s="2" t="s">
        <v>1068</v>
      </c>
      <c r="H99" s="2" t="s">
        <v>45</v>
      </c>
      <c r="I99" s="2" t="s">
        <v>1069</v>
      </c>
    </row>
    <row r="100" customFormat="false" ht="15" hidden="false" customHeight="false" outlineLevel="0" collapsed="false">
      <c r="A100" s="2" t="s">
        <v>1180</v>
      </c>
      <c r="B100" s="2" t="s">
        <v>336</v>
      </c>
      <c r="C100" s="6" t="n">
        <v>45258</v>
      </c>
      <c r="D100" s="2" t="s">
        <v>30</v>
      </c>
      <c r="E100" s="2" t="s">
        <v>1080</v>
      </c>
      <c r="F100" s="2" t="s">
        <v>1067</v>
      </c>
      <c r="G100" s="2" t="s">
        <v>1068</v>
      </c>
      <c r="H100" s="2" t="s">
        <v>45</v>
      </c>
      <c r="I100" s="2" t="s">
        <v>1069</v>
      </c>
    </row>
    <row r="101" customFormat="false" ht="15" hidden="false" customHeight="false" outlineLevel="0" collapsed="false">
      <c r="A101" s="2" t="s">
        <v>1181</v>
      </c>
      <c r="B101" s="2" t="s">
        <v>699</v>
      </c>
      <c r="C101" s="6" t="n">
        <v>45259</v>
      </c>
      <c r="D101" s="2" t="s">
        <v>30</v>
      </c>
      <c r="E101" s="2" t="s">
        <v>1071</v>
      </c>
      <c r="F101" s="2" t="s">
        <v>1067</v>
      </c>
      <c r="G101" s="2" t="s">
        <v>1068</v>
      </c>
      <c r="H101" s="2" t="s">
        <v>57</v>
      </c>
      <c r="I101" s="2" t="s">
        <v>1069</v>
      </c>
    </row>
    <row r="102" customFormat="false" ht="15" hidden="false" customHeight="false" outlineLevel="0" collapsed="false">
      <c r="A102" s="2" t="s">
        <v>1182</v>
      </c>
      <c r="B102" s="2" t="s">
        <v>401</v>
      </c>
      <c r="C102" s="6" t="n">
        <v>45261</v>
      </c>
      <c r="D102" s="2" t="s">
        <v>30</v>
      </c>
      <c r="E102" s="2" t="s">
        <v>1080</v>
      </c>
      <c r="F102" s="2" t="s">
        <v>1067</v>
      </c>
      <c r="G102" s="2" t="s">
        <v>1068</v>
      </c>
      <c r="H102" s="2" t="s">
        <v>37</v>
      </c>
      <c r="I102" s="2" t="s">
        <v>1072</v>
      </c>
    </row>
    <row r="103" customFormat="false" ht="15" hidden="false" customHeight="false" outlineLevel="0" collapsed="false">
      <c r="A103" s="2" t="s">
        <v>1183</v>
      </c>
      <c r="B103" s="2" t="s">
        <v>714</v>
      </c>
      <c r="C103" s="6" t="n">
        <v>45261</v>
      </c>
      <c r="D103" s="2" t="s">
        <v>30</v>
      </c>
      <c r="E103" s="2" t="s">
        <v>1099</v>
      </c>
      <c r="F103" s="2" t="s">
        <v>1075</v>
      </c>
      <c r="G103" s="2" t="s">
        <v>1068</v>
      </c>
      <c r="H103" s="2" t="s">
        <v>37</v>
      </c>
      <c r="I103" s="2" t="s">
        <v>1072</v>
      </c>
    </row>
    <row r="104" customFormat="false" ht="15" hidden="false" customHeight="false" outlineLevel="0" collapsed="false">
      <c r="A104" s="2" t="s">
        <v>1184</v>
      </c>
      <c r="B104" s="2" t="s">
        <v>198</v>
      </c>
      <c r="C104" s="6" t="n">
        <v>45264</v>
      </c>
      <c r="D104" s="2" t="s">
        <v>30</v>
      </c>
      <c r="E104" s="2" t="s">
        <v>1090</v>
      </c>
      <c r="F104" s="2" t="s">
        <v>1067</v>
      </c>
      <c r="G104" s="2" t="s">
        <v>1068</v>
      </c>
      <c r="H104" s="2" t="s">
        <v>45</v>
      </c>
      <c r="I104" s="2" t="s">
        <v>1069</v>
      </c>
    </row>
    <row r="105" customFormat="false" ht="15" hidden="false" customHeight="false" outlineLevel="0" collapsed="false">
      <c r="A105" s="2" t="s">
        <v>1185</v>
      </c>
      <c r="B105" s="2" t="s">
        <v>758</v>
      </c>
      <c r="C105" s="6" t="n">
        <v>45264</v>
      </c>
      <c r="D105" s="2" t="s">
        <v>30</v>
      </c>
      <c r="E105" s="2" t="s">
        <v>1071</v>
      </c>
      <c r="F105" s="2" t="s">
        <v>1067</v>
      </c>
      <c r="G105" s="2" t="s">
        <v>1068</v>
      </c>
      <c r="H105" s="2" t="s">
        <v>37</v>
      </c>
      <c r="I105" s="2" t="s">
        <v>1069</v>
      </c>
    </row>
    <row r="106" customFormat="false" ht="15" hidden="false" customHeight="false" outlineLevel="0" collapsed="false">
      <c r="A106" s="2" t="s">
        <v>1186</v>
      </c>
      <c r="B106" s="2" t="s">
        <v>528</v>
      </c>
      <c r="C106" s="6" t="n">
        <v>45266</v>
      </c>
      <c r="D106" s="2" t="s">
        <v>30</v>
      </c>
      <c r="E106" s="2" t="s">
        <v>1071</v>
      </c>
      <c r="F106" s="2" t="s">
        <v>1067</v>
      </c>
      <c r="G106" s="2" t="s">
        <v>1068</v>
      </c>
      <c r="H106" s="2" t="s">
        <v>45</v>
      </c>
      <c r="I106" s="2" t="s">
        <v>1093</v>
      </c>
    </row>
    <row r="107" customFormat="false" ht="15" hidden="false" customHeight="false" outlineLevel="0" collapsed="false">
      <c r="A107" s="2" t="s">
        <v>1187</v>
      </c>
      <c r="B107" s="2" t="s">
        <v>88</v>
      </c>
      <c r="C107" s="6" t="n">
        <v>45268</v>
      </c>
      <c r="D107" s="2" t="s">
        <v>30</v>
      </c>
      <c r="E107" s="2" t="s">
        <v>1074</v>
      </c>
      <c r="F107" s="2" t="s">
        <v>1075</v>
      </c>
      <c r="G107" s="2" t="s">
        <v>1068</v>
      </c>
      <c r="H107" s="2" t="s">
        <v>37</v>
      </c>
      <c r="I107" s="2" t="s">
        <v>1069</v>
      </c>
    </row>
    <row r="108" customFormat="false" ht="15" hidden="false" customHeight="false" outlineLevel="0" collapsed="false">
      <c r="A108" s="2" t="s">
        <v>1188</v>
      </c>
      <c r="B108" s="2" t="s">
        <v>328</v>
      </c>
      <c r="C108" s="6" t="n">
        <v>45268</v>
      </c>
      <c r="D108" s="2" t="s">
        <v>30</v>
      </c>
      <c r="E108" s="2" t="s">
        <v>1095</v>
      </c>
      <c r="F108" s="2" t="s">
        <v>1075</v>
      </c>
      <c r="G108" s="2" t="s">
        <v>1068</v>
      </c>
      <c r="H108" s="2" t="s">
        <v>37</v>
      </c>
      <c r="I108" s="2" t="s">
        <v>1069</v>
      </c>
    </row>
    <row r="109" customFormat="false" ht="15" hidden="false" customHeight="false" outlineLevel="0" collapsed="false">
      <c r="A109" s="2" t="s">
        <v>1189</v>
      </c>
      <c r="B109" s="2" t="s">
        <v>78</v>
      </c>
      <c r="C109" s="6" t="n">
        <v>45272</v>
      </c>
      <c r="D109" s="2" t="s">
        <v>30</v>
      </c>
      <c r="E109" s="2" t="s">
        <v>1101</v>
      </c>
      <c r="F109" s="2" t="s">
        <v>1067</v>
      </c>
      <c r="G109" s="2" t="s">
        <v>1068</v>
      </c>
      <c r="H109" s="2" t="s">
        <v>45</v>
      </c>
      <c r="I109" s="2" t="s">
        <v>1072</v>
      </c>
    </row>
    <row r="110" customFormat="false" ht="15" hidden="false" customHeight="false" outlineLevel="0" collapsed="false">
      <c r="A110" s="2" t="s">
        <v>1190</v>
      </c>
      <c r="B110" s="2" t="s">
        <v>258</v>
      </c>
      <c r="C110" s="6" t="n">
        <v>45274</v>
      </c>
      <c r="D110" s="2" t="s">
        <v>30</v>
      </c>
      <c r="E110" s="2" t="s">
        <v>1071</v>
      </c>
      <c r="F110" s="2" t="s">
        <v>1067</v>
      </c>
      <c r="G110" s="2" t="s">
        <v>1085</v>
      </c>
      <c r="H110" s="2" t="s">
        <v>67</v>
      </c>
      <c r="I110" s="2" t="s">
        <v>1069</v>
      </c>
    </row>
    <row r="111" customFormat="false" ht="15" hidden="false" customHeight="false" outlineLevel="0" collapsed="false">
      <c r="A111" s="2" t="s">
        <v>1191</v>
      </c>
      <c r="B111" s="2" t="s">
        <v>667</v>
      </c>
      <c r="C111" s="6" t="n">
        <v>45274</v>
      </c>
      <c r="D111" s="2" t="s">
        <v>30</v>
      </c>
      <c r="E111" s="2" t="s">
        <v>1099</v>
      </c>
      <c r="F111" s="2" t="s">
        <v>1075</v>
      </c>
      <c r="G111" s="2" t="s">
        <v>1068</v>
      </c>
      <c r="H111" s="2" t="s">
        <v>45</v>
      </c>
      <c r="I111" s="2" t="s">
        <v>1072</v>
      </c>
    </row>
    <row r="112" customFormat="false" ht="15" hidden="false" customHeight="false" outlineLevel="0" collapsed="false">
      <c r="A112" s="2" t="s">
        <v>1192</v>
      </c>
      <c r="B112" s="2" t="s">
        <v>702</v>
      </c>
      <c r="C112" s="6" t="n">
        <v>45274</v>
      </c>
      <c r="D112" s="2" t="s">
        <v>30</v>
      </c>
      <c r="E112" s="2" t="s">
        <v>1080</v>
      </c>
      <c r="F112" s="2" t="s">
        <v>1067</v>
      </c>
      <c r="G112" s="2" t="s">
        <v>1068</v>
      </c>
      <c r="H112" s="2" t="s">
        <v>57</v>
      </c>
      <c r="I112" s="2" t="s">
        <v>1072</v>
      </c>
    </row>
    <row r="113" customFormat="false" ht="15" hidden="false" customHeight="false" outlineLevel="0" collapsed="false">
      <c r="A113" s="2" t="s">
        <v>1193</v>
      </c>
      <c r="B113" s="2" t="s">
        <v>115</v>
      </c>
      <c r="C113" s="6" t="n">
        <v>45275</v>
      </c>
      <c r="D113" s="2" t="s">
        <v>30</v>
      </c>
      <c r="E113" s="2" t="s">
        <v>1078</v>
      </c>
      <c r="F113" s="2" t="s">
        <v>1075</v>
      </c>
      <c r="G113" s="2" t="s">
        <v>1068</v>
      </c>
      <c r="H113" s="2" t="s">
        <v>57</v>
      </c>
      <c r="I113" s="2" t="s">
        <v>1069</v>
      </c>
    </row>
    <row r="114" customFormat="false" ht="15" hidden="false" customHeight="false" outlineLevel="0" collapsed="false">
      <c r="A114" s="2" t="s">
        <v>1194</v>
      </c>
      <c r="B114" s="2" t="s">
        <v>389</v>
      </c>
      <c r="C114" s="6" t="n">
        <v>45275</v>
      </c>
      <c r="D114" s="2" t="s">
        <v>30</v>
      </c>
      <c r="E114" s="2" t="s">
        <v>1114</v>
      </c>
      <c r="F114" s="2" t="s">
        <v>1075</v>
      </c>
      <c r="G114" s="2" t="s">
        <v>1068</v>
      </c>
      <c r="H114" s="2" t="s">
        <v>37</v>
      </c>
      <c r="I114" s="2" t="s">
        <v>1069</v>
      </c>
    </row>
    <row r="115" customFormat="false" ht="15" hidden="false" customHeight="false" outlineLevel="0" collapsed="false">
      <c r="A115" s="2" t="s">
        <v>1195</v>
      </c>
      <c r="B115" s="2" t="s">
        <v>336</v>
      </c>
      <c r="C115" s="6" t="n">
        <v>45285</v>
      </c>
      <c r="D115" s="2" t="s">
        <v>30</v>
      </c>
      <c r="E115" s="2" t="s">
        <v>1074</v>
      </c>
      <c r="F115" s="2" t="s">
        <v>1075</v>
      </c>
      <c r="G115" s="2" t="s">
        <v>1068</v>
      </c>
      <c r="H115" s="2" t="s">
        <v>45</v>
      </c>
      <c r="I115" s="2" t="s">
        <v>1069</v>
      </c>
    </row>
    <row r="116" customFormat="false" ht="15" hidden="false" customHeight="false" outlineLevel="0" collapsed="false">
      <c r="A116" s="2" t="s">
        <v>1196</v>
      </c>
      <c r="B116" s="2" t="s">
        <v>443</v>
      </c>
      <c r="C116" s="6" t="n">
        <v>45285</v>
      </c>
      <c r="D116" s="2" t="s">
        <v>30</v>
      </c>
      <c r="E116" s="2" t="s">
        <v>1101</v>
      </c>
      <c r="F116" s="2" t="s">
        <v>1067</v>
      </c>
      <c r="G116" s="2" t="s">
        <v>1068</v>
      </c>
      <c r="H116" s="2" t="s">
        <v>57</v>
      </c>
      <c r="I116" s="2" t="s">
        <v>1069</v>
      </c>
    </row>
    <row r="117" customFormat="false" ht="15" hidden="false" customHeight="false" outlineLevel="0" collapsed="false">
      <c r="A117" s="2" t="s">
        <v>1197</v>
      </c>
      <c r="B117" s="2" t="s">
        <v>314</v>
      </c>
      <c r="C117" s="6" t="n">
        <v>45288</v>
      </c>
      <c r="D117" s="2" t="s">
        <v>30</v>
      </c>
      <c r="E117" s="2" t="s">
        <v>1078</v>
      </c>
      <c r="F117" s="2" t="s">
        <v>1075</v>
      </c>
      <c r="G117" s="2" t="s">
        <v>1068</v>
      </c>
      <c r="H117" s="2" t="s">
        <v>37</v>
      </c>
      <c r="I117" s="2" t="s">
        <v>1072</v>
      </c>
    </row>
    <row r="118" customFormat="false" ht="15" hidden="false" customHeight="false" outlineLevel="0" collapsed="false">
      <c r="A118" s="2" t="s">
        <v>1198</v>
      </c>
      <c r="B118" s="2" t="s">
        <v>180</v>
      </c>
      <c r="C118" s="6" t="n">
        <v>45289</v>
      </c>
      <c r="D118" s="2" t="s">
        <v>30</v>
      </c>
      <c r="E118" s="2" t="s">
        <v>1078</v>
      </c>
      <c r="F118" s="2" t="s">
        <v>1075</v>
      </c>
      <c r="G118" s="2" t="s">
        <v>1068</v>
      </c>
      <c r="H118" s="2" t="s">
        <v>57</v>
      </c>
      <c r="I118" s="2" t="s">
        <v>1072</v>
      </c>
    </row>
    <row r="119" customFormat="false" ht="15" hidden="false" customHeight="false" outlineLevel="0" collapsed="false">
      <c r="A119" s="2" t="s">
        <v>1199</v>
      </c>
      <c r="B119" s="2" t="s">
        <v>522</v>
      </c>
      <c r="C119" s="6" t="n">
        <v>45292</v>
      </c>
      <c r="D119" s="2" t="s">
        <v>30</v>
      </c>
      <c r="E119" s="2" t="s">
        <v>1090</v>
      </c>
      <c r="F119" s="2" t="s">
        <v>1067</v>
      </c>
      <c r="G119" s="2" t="s">
        <v>1068</v>
      </c>
      <c r="H119" s="2" t="s">
        <v>37</v>
      </c>
      <c r="I119" s="2" t="s">
        <v>1069</v>
      </c>
    </row>
    <row r="120" customFormat="false" ht="15" hidden="false" customHeight="false" outlineLevel="0" collapsed="false">
      <c r="A120" s="2" t="s">
        <v>1200</v>
      </c>
      <c r="B120" s="2" t="s">
        <v>59</v>
      </c>
      <c r="C120" s="6" t="n">
        <v>45293</v>
      </c>
      <c r="D120" s="2" t="s">
        <v>30</v>
      </c>
      <c r="E120" s="2" t="s">
        <v>1101</v>
      </c>
      <c r="F120" s="2" t="s">
        <v>1067</v>
      </c>
      <c r="G120" s="2" t="s">
        <v>1068</v>
      </c>
      <c r="H120" s="2" t="s">
        <v>45</v>
      </c>
      <c r="I120" s="2" t="s">
        <v>1069</v>
      </c>
    </row>
    <row r="121" customFormat="false" ht="15" hidden="false" customHeight="false" outlineLevel="0" collapsed="false">
      <c r="A121" s="2" t="s">
        <v>1201</v>
      </c>
      <c r="B121" s="2" t="s">
        <v>92</v>
      </c>
      <c r="C121" s="6" t="n">
        <v>45293</v>
      </c>
      <c r="D121" s="2" t="s">
        <v>30</v>
      </c>
      <c r="E121" s="2" t="s">
        <v>1114</v>
      </c>
      <c r="F121" s="2" t="s">
        <v>1075</v>
      </c>
      <c r="G121" s="2" t="s">
        <v>1068</v>
      </c>
      <c r="H121" s="2" t="s">
        <v>45</v>
      </c>
      <c r="I121" s="2" t="s">
        <v>1069</v>
      </c>
    </row>
    <row r="122" customFormat="false" ht="15" hidden="false" customHeight="false" outlineLevel="0" collapsed="false">
      <c r="A122" s="2" t="s">
        <v>1202</v>
      </c>
      <c r="B122" s="2" t="s">
        <v>106</v>
      </c>
      <c r="C122" s="6" t="n">
        <v>45293</v>
      </c>
      <c r="D122" s="2" t="s">
        <v>30</v>
      </c>
      <c r="E122" s="2" t="s">
        <v>1080</v>
      </c>
      <c r="F122" s="2" t="s">
        <v>1067</v>
      </c>
      <c r="G122" s="2" t="s">
        <v>1068</v>
      </c>
      <c r="H122" s="2" t="s">
        <v>57</v>
      </c>
      <c r="I122" s="2" t="s">
        <v>1072</v>
      </c>
    </row>
    <row r="123" customFormat="false" ht="15" hidden="false" customHeight="false" outlineLevel="0" collapsed="false">
      <c r="A123" s="2" t="s">
        <v>1203</v>
      </c>
      <c r="B123" s="2" t="s">
        <v>411</v>
      </c>
      <c r="C123" s="6" t="n">
        <v>45293</v>
      </c>
      <c r="D123" s="2" t="s">
        <v>30</v>
      </c>
      <c r="E123" s="2" t="s">
        <v>1099</v>
      </c>
      <c r="F123" s="2" t="s">
        <v>1075</v>
      </c>
      <c r="G123" s="2" t="s">
        <v>1068</v>
      </c>
      <c r="H123" s="2" t="s">
        <v>45</v>
      </c>
      <c r="I123" s="2" t="s">
        <v>1072</v>
      </c>
    </row>
    <row r="124" customFormat="false" ht="15" hidden="false" customHeight="false" outlineLevel="0" collapsed="false">
      <c r="A124" s="2" t="s">
        <v>1204</v>
      </c>
      <c r="B124" s="2" t="s">
        <v>575</v>
      </c>
      <c r="C124" s="6" t="n">
        <v>45294</v>
      </c>
      <c r="D124" s="2" t="s">
        <v>30</v>
      </c>
      <c r="E124" s="2" t="s">
        <v>1114</v>
      </c>
      <c r="F124" s="2" t="s">
        <v>1075</v>
      </c>
      <c r="G124" s="2" t="s">
        <v>1068</v>
      </c>
      <c r="H124" s="2" t="s">
        <v>45</v>
      </c>
      <c r="I124" s="2" t="s">
        <v>1072</v>
      </c>
    </row>
    <row r="125" customFormat="false" ht="15" hidden="false" customHeight="false" outlineLevel="0" collapsed="false">
      <c r="A125" s="2" t="s">
        <v>1205</v>
      </c>
      <c r="B125" s="2" t="s">
        <v>75</v>
      </c>
      <c r="C125" s="6" t="n">
        <v>45295</v>
      </c>
      <c r="D125" s="2" t="s">
        <v>30</v>
      </c>
      <c r="E125" s="2" t="s">
        <v>1090</v>
      </c>
      <c r="F125" s="2" t="s">
        <v>1067</v>
      </c>
      <c r="G125" s="2" t="s">
        <v>1085</v>
      </c>
      <c r="H125" s="2" t="s">
        <v>67</v>
      </c>
      <c r="I125" s="2" t="s">
        <v>1069</v>
      </c>
    </row>
    <row r="126" customFormat="false" ht="15" hidden="false" customHeight="false" outlineLevel="0" collapsed="false">
      <c r="A126" s="2" t="s">
        <v>1206</v>
      </c>
      <c r="B126" s="2" t="s">
        <v>85</v>
      </c>
      <c r="C126" s="6" t="n">
        <v>45299</v>
      </c>
      <c r="D126" s="2" t="s">
        <v>30</v>
      </c>
      <c r="E126" s="2" t="s">
        <v>1066</v>
      </c>
      <c r="F126" s="2" t="s">
        <v>1067</v>
      </c>
      <c r="G126" s="2" t="s">
        <v>1068</v>
      </c>
      <c r="H126" s="2" t="s">
        <v>37</v>
      </c>
      <c r="I126" s="2" t="s">
        <v>1093</v>
      </c>
    </row>
    <row r="127" customFormat="false" ht="15" hidden="false" customHeight="false" outlineLevel="0" collapsed="false">
      <c r="A127" s="2" t="s">
        <v>1207</v>
      </c>
      <c r="B127" s="2" t="s">
        <v>83</v>
      </c>
      <c r="C127" s="6" t="n">
        <v>45303</v>
      </c>
      <c r="D127" s="2" t="s">
        <v>30</v>
      </c>
      <c r="E127" s="2" t="s">
        <v>1101</v>
      </c>
      <c r="F127" s="2" t="s">
        <v>1067</v>
      </c>
      <c r="G127" s="2" t="s">
        <v>1085</v>
      </c>
      <c r="H127" s="2" t="s">
        <v>67</v>
      </c>
      <c r="I127" s="2" t="s">
        <v>1072</v>
      </c>
    </row>
    <row r="128" customFormat="false" ht="15" hidden="false" customHeight="false" outlineLevel="0" collapsed="false">
      <c r="A128" s="2" t="s">
        <v>1208</v>
      </c>
      <c r="B128" s="2" t="s">
        <v>224</v>
      </c>
      <c r="C128" s="6" t="n">
        <v>45303</v>
      </c>
      <c r="D128" s="2" t="s">
        <v>30</v>
      </c>
      <c r="E128" s="2" t="s">
        <v>1114</v>
      </c>
      <c r="F128" s="2" t="s">
        <v>1075</v>
      </c>
      <c r="G128" s="2" t="s">
        <v>1068</v>
      </c>
      <c r="H128" s="2" t="s">
        <v>37</v>
      </c>
      <c r="I128" s="2" t="s">
        <v>1072</v>
      </c>
    </row>
    <row r="129" customFormat="false" ht="15" hidden="false" customHeight="false" outlineLevel="0" collapsed="false">
      <c r="A129" s="2" t="s">
        <v>1209</v>
      </c>
      <c r="B129" s="2" t="s">
        <v>230</v>
      </c>
      <c r="C129" s="6" t="n">
        <v>45306</v>
      </c>
      <c r="D129" s="2" t="s">
        <v>30</v>
      </c>
      <c r="E129" s="2" t="s">
        <v>1074</v>
      </c>
      <c r="F129" s="2" t="s">
        <v>1075</v>
      </c>
      <c r="G129" s="2" t="s">
        <v>1068</v>
      </c>
      <c r="H129" s="2" t="s">
        <v>45</v>
      </c>
      <c r="I129" s="2" t="s">
        <v>1072</v>
      </c>
    </row>
    <row r="130" customFormat="false" ht="15" hidden="false" customHeight="false" outlineLevel="0" collapsed="false">
      <c r="A130" s="2" t="s">
        <v>1210</v>
      </c>
      <c r="B130" s="2" t="s">
        <v>536</v>
      </c>
      <c r="C130" s="6" t="n">
        <v>45309</v>
      </c>
      <c r="D130" s="2" t="s">
        <v>30</v>
      </c>
      <c r="E130" s="2" t="s">
        <v>1114</v>
      </c>
      <c r="F130" s="2" t="s">
        <v>1075</v>
      </c>
      <c r="G130" s="2" t="s">
        <v>1068</v>
      </c>
      <c r="H130" s="2" t="s">
        <v>45</v>
      </c>
      <c r="I130" s="2" t="s">
        <v>1072</v>
      </c>
    </row>
    <row r="131" customFormat="false" ht="15" hidden="false" customHeight="false" outlineLevel="0" collapsed="false">
      <c r="A131" s="2" t="s">
        <v>1211</v>
      </c>
      <c r="B131" s="2" t="s">
        <v>695</v>
      </c>
      <c r="C131" s="6" t="n">
        <v>45309</v>
      </c>
      <c r="D131" s="2" t="s">
        <v>30</v>
      </c>
      <c r="E131" s="2" t="s">
        <v>1074</v>
      </c>
      <c r="F131" s="2" t="s">
        <v>1075</v>
      </c>
      <c r="G131" s="2" t="s">
        <v>1068</v>
      </c>
      <c r="H131" s="2" t="s">
        <v>37</v>
      </c>
      <c r="I131" s="2" t="s">
        <v>1072</v>
      </c>
    </row>
    <row r="132" customFormat="false" ht="15" hidden="false" customHeight="false" outlineLevel="0" collapsed="false">
      <c r="A132" s="2" t="s">
        <v>1212</v>
      </c>
      <c r="B132" s="2" t="s">
        <v>511</v>
      </c>
      <c r="C132" s="6" t="n">
        <v>45310</v>
      </c>
      <c r="D132" s="2" t="s">
        <v>30</v>
      </c>
      <c r="E132" s="2" t="s">
        <v>1114</v>
      </c>
      <c r="F132" s="2" t="s">
        <v>1075</v>
      </c>
      <c r="G132" s="2" t="s">
        <v>1068</v>
      </c>
      <c r="H132" s="2" t="s">
        <v>37</v>
      </c>
      <c r="I132" s="2" t="s">
        <v>1069</v>
      </c>
    </row>
    <row r="133" customFormat="false" ht="15" hidden="false" customHeight="false" outlineLevel="0" collapsed="false">
      <c r="A133" s="2" t="s">
        <v>1213</v>
      </c>
      <c r="B133" s="2" t="s">
        <v>214</v>
      </c>
      <c r="C133" s="6" t="n">
        <v>45313</v>
      </c>
      <c r="D133" s="2" t="s">
        <v>30</v>
      </c>
      <c r="E133" s="2" t="s">
        <v>1078</v>
      </c>
      <c r="F133" s="2" t="s">
        <v>1075</v>
      </c>
      <c r="G133" s="2" t="s">
        <v>1068</v>
      </c>
      <c r="H133" s="2" t="s">
        <v>45</v>
      </c>
      <c r="I133" s="2" t="s">
        <v>1069</v>
      </c>
    </row>
    <row r="134" customFormat="false" ht="15" hidden="false" customHeight="false" outlineLevel="0" collapsed="false">
      <c r="A134" s="2" t="s">
        <v>1214</v>
      </c>
      <c r="B134" s="2" t="s">
        <v>522</v>
      </c>
      <c r="C134" s="6" t="n">
        <v>45313</v>
      </c>
      <c r="D134" s="2" t="s">
        <v>30</v>
      </c>
      <c r="E134" s="2" t="s">
        <v>1066</v>
      </c>
      <c r="F134" s="2" t="s">
        <v>1067</v>
      </c>
      <c r="G134" s="2" t="s">
        <v>1068</v>
      </c>
      <c r="H134" s="2" t="s">
        <v>37</v>
      </c>
      <c r="I134" s="2" t="s">
        <v>1072</v>
      </c>
    </row>
    <row r="135" customFormat="false" ht="15" hidden="false" customHeight="false" outlineLevel="0" collapsed="false">
      <c r="A135" s="2" t="s">
        <v>1215</v>
      </c>
      <c r="B135" s="2" t="s">
        <v>528</v>
      </c>
      <c r="C135" s="6" t="n">
        <v>45316</v>
      </c>
      <c r="D135" s="2" t="s">
        <v>30</v>
      </c>
      <c r="E135" s="2" t="s">
        <v>1101</v>
      </c>
      <c r="F135" s="2" t="s">
        <v>1067</v>
      </c>
      <c r="G135" s="2" t="s">
        <v>1085</v>
      </c>
      <c r="H135" s="2" t="s">
        <v>67</v>
      </c>
      <c r="I135" s="2" t="s">
        <v>1072</v>
      </c>
    </row>
    <row r="136" customFormat="false" ht="15" hidden="false" customHeight="false" outlineLevel="0" collapsed="false">
      <c r="A136" s="2" t="s">
        <v>1216</v>
      </c>
      <c r="B136" s="2" t="s">
        <v>78</v>
      </c>
      <c r="C136" s="6" t="n">
        <v>45317</v>
      </c>
      <c r="D136" s="2" t="s">
        <v>30</v>
      </c>
      <c r="E136" s="2" t="s">
        <v>1080</v>
      </c>
      <c r="F136" s="2" t="s">
        <v>1067</v>
      </c>
      <c r="G136" s="2" t="s">
        <v>1068</v>
      </c>
      <c r="H136" s="2" t="s">
        <v>37</v>
      </c>
      <c r="I136" s="2" t="s">
        <v>1072</v>
      </c>
    </row>
    <row r="137" customFormat="false" ht="15" hidden="false" customHeight="false" outlineLevel="0" collapsed="false">
      <c r="A137" s="2" t="s">
        <v>1217</v>
      </c>
      <c r="B137" s="2" t="s">
        <v>151</v>
      </c>
      <c r="C137" s="6" t="n">
        <v>45317</v>
      </c>
      <c r="D137" s="2" t="s">
        <v>30</v>
      </c>
      <c r="E137" s="2" t="s">
        <v>1099</v>
      </c>
      <c r="F137" s="2" t="s">
        <v>1075</v>
      </c>
      <c r="G137" s="2" t="s">
        <v>1068</v>
      </c>
      <c r="H137" s="2" t="s">
        <v>45</v>
      </c>
      <c r="I137" s="2" t="s">
        <v>1069</v>
      </c>
    </row>
    <row r="138" customFormat="false" ht="15" hidden="false" customHeight="false" outlineLevel="0" collapsed="false">
      <c r="A138" s="2" t="s">
        <v>1218</v>
      </c>
      <c r="B138" s="2" t="s">
        <v>308</v>
      </c>
      <c r="C138" s="6" t="n">
        <v>45317</v>
      </c>
      <c r="D138" s="2" t="s">
        <v>30</v>
      </c>
      <c r="E138" s="2" t="s">
        <v>1071</v>
      </c>
      <c r="F138" s="2" t="s">
        <v>1067</v>
      </c>
      <c r="G138" s="2" t="s">
        <v>1068</v>
      </c>
      <c r="H138" s="2" t="s">
        <v>45</v>
      </c>
      <c r="I138" s="2" t="s">
        <v>1069</v>
      </c>
    </row>
    <row r="139" customFormat="false" ht="15" hidden="false" customHeight="false" outlineLevel="0" collapsed="false">
      <c r="A139" s="2" t="s">
        <v>1219</v>
      </c>
      <c r="B139" s="2" t="s">
        <v>546</v>
      </c>
      <c r="C139" s="6" t="n">
        <v>45317</v>
      </c>
      <c r="D139" s="2" t="s">
        <v>30</v>
      </c>
      <c r="E139" s="2" t="s">
        <v>1066</v>
      </c>
      <c r="F139" s="2" t="s">
        <v>1067</v>
      </c>
      <c r="G139" s="2" t="s">
        <v>1068</v>
      </c>
      <c r="H139" s="2" t="s">
        <v>45</v>
      </c>
      <c r="I139" s="2" t="s">
        <v>1069</v>
      </c>
    </row>
    <row r="140" customFormat="false" ht="15" hidden="false" customHeight="false" outlineLevel="0" collapsed="false">
      <c r="A140" s="2" t="s">
        <v>1220</v>
      </c>
      <c r="B140" s="2" t="s">
        <v>731</v>
      </c>
      <c r="C140" s="6" t="n">
        <v>45317</v>
      </c>
      <c r="D140" s="2" t="s">
        <v>30</v>
      </c>
      <c r="E140" s="2" t="s">
        <v>1071</v>
      </c>
      <c r="F140" s="2" t="s">
        <v>1067</v>
      </c>
      <c r="G140" s="2" t="s">
        <v>1068</v>
      </c>
      <c r="H140" s="2" t="s">
        <v>37</v>
      </c>
      <c r="I140" s="2" t="s">
        <v>1072</v>
      </c>
    </row>
    <row r="141" customFormat="false" ht="15" hidden="false" customHeight="false" outlineLevel="0" collapsed="false">
      <c r="A141" s="2" t="s">
        <v>1221</v>
      </c>
      <c r="B141" s="2" t="s">
        <v>483</v>
      </c>
      <c r="C141" s="6" t="n">
        <v>45323</v>
      </c>
      <c r="D141" s="2" t="s">
        <v>30</v>
      </c>
      <c r="E141" s="2" t="s">
        <v>1114</v>
      </c>
      <c r="F141" s="2" t="s">
        <v>1075</v>
      </c>
      <c r="G141" s="2" t="s">
        <v>1068</v>
      </c>
      <c r="H141" s="2" t="s">
        <v>45</v>
      </c>
      <c r="I141" s="2" t="s">
        <v>1069</v>
      </c>
    </row>
    <row r="142" customFormat="false" ht="15" hidden="false" customHeight="false" outlineLevel="0" collapsed="false">
      <c r="A142" s="2" t="s">
        <v>1222</v>
      </c>
      <c r="B142" s="2" t="s">
        <v>528</v>
      </c>
      <c r="C142" s="6" t="n">
        <v>45324</v>
      </c>
      <c r="D142" s="2" t="s">
        <v>30</v>
      </c>
      <c r="E142" s="2" t="s">
        <v>1078</v>
      </c>
      <c r="F142" s="2" t="s">
        <v>1075</v>
      </c>
      <c r="G142" s="2" t="s">
        <v>1068</v>
      </c>
      <c r="H142" s="2" t="s">
        <v>45</v>
      </c>
      <c r="I142" s="2" t="s">
        <v>1072</v>
      </c>
    </row>
    <row r="143" customFormat="false" ht="15" hidden="false" customHeight="false" outlineLevel="0" collapsed="false">
      <c r="A143" s="2" t="s">
        <v>1223</v>
      </c>
      <c r="B143" s="2" t="s">
        <v>302</v>
      </c>
      <c r="C143" s="6" t="n">
        <v>45327</v>
      </c>
      <c r="D143" s="2" t="s">
        <v>30</v>
      </c>
      <c r="E143" s="2" t="s">
        <v>1090</v>
      </c>
      <c r="F143" s="2" t="s">
        <v>1067</v>
      </c>
      <c r="G143" s="2" t="s">
        <v>1068</v>
      </c>
      <c r="H143" s="2" t="s">
        <v>45</v>
      </c>
      <c r="I143" s="2" t="s">
        <v>1072</v>
      </c>
    </row>
    <row r="144" customFormat="false" ht="15" hidden="false" customHeight="false" outlineLevel="0" collapsed="false">
      <c r="A144" s="2" t="s">
        <v>1224</v>
      </c>
      <c r="B144" s="2" t="s">
        <v>88</v>
      </c>
      <c r="C144" s="6" t="n">
        <v>45331</v>
      </c>
      <c r="D144" s="2" t="s">
        <v>30</v>
      </c>
      <c r="E144" s="2" t="s">
        <v>1078</v>
      </c>
      <c r="F144" s="2" t="s">
        <v>1075</v>
      </c>
      <c r="G144" s="2" t="s">
        <v>1068</v>
      </c>
      <c r="H144" s="2" t="s">
        <v>45</v>
      </c>
      <c r="I144" s="2" t="s">
        <v>1072</v>
      </c>
    </row>
    <row r="145" customFormat="false" ht="15" hidden="false" customHeight="false" outlineLevel="0" collapsed="false">
      <c r="A145" s="2" t="s">
        <v>1225</v>
      </c>
      <c r="B145" s="2" t="s">
        <v>395</v>
      </c>
      <c r="C145" s="6" t="n">
        <v>45331</v>
      </c>
      <c r="D145" s="2" t="s">
        <v>30</v>
      </c>
      <c r="E145" s="2" t="s">
        <v>1095</v>
      </c>
      <c r="F145" s="2" t="s">
        <v>1075</v>
      </c>
      <c r="G145" s="2" t="s">
        <v>1068</v>
      </c>
      <c r="H145" s="2" t="s">
        <v>57</v>
      </c>
      <c r="I145" s="2" t="s">
        <v>1072</v>
      </c>
    </row>
    <row r="146" customFormat="false" ht="15" hidden="false" customHeight="false" outlineLevel="0" collapsed="false">
      <c r="A146" s="2" t="s">
        <v>1226</v>
      </c>
      <c r="B146" s="2" t="s">
        <v>514</v>
      </c>
      <c r="C146" s="6" t="n">
        <v>45331</v>
      </c>
      <c r="D146" s="2" t="s">
        <v>30</v>
      </c>
      <c r="E146" s="2" t="s">
        <v>1080</v>
      </c>
      <c r="F146" s="2" t="s">
        <v>1067</v>
      </c>
      <c r="G146" s="2" t="s">
        <v>1068</v>
      </c>
      <c r="H146" s="2" t="s">
        <v>37</v>
      </c>
      <c r="I146" s="2" t="s">
        <v>1072</v>
      </c>
    </row>
    <row r="147" customFormat="false" ht="15" hidden="false" customHeight="false" outlineLevel="0" collapsed="false">
      <c r="A147" s="2" t="s">
        <v>1227</v>
      </c>
      <c r="B147" s="2" t="s">
        <v>594</v>
      </c>
      <c r="C147" s="6" t="n">
        <v>45331</v>
      </c>
      <c r="D147" s="2" t="s">
        <v>30</v>
      </c>
      <c r="E147" s="2" t="s">
        <v>1099</v>
      </c>
      <c r="F147" s="2" t="s">
        <v>1075</v>
      </c>
      <c r="G147" s="2" t="s">
        <v>1068</v>
      </c>
      <c r="H147" s="2" t="s">
        <v>37</v>
      </c>
      <c r="I147" s="2" t="s">
        <v>1072</v>
      </c>
    </row>
    <row r="148" customFormat="false" ht="15" hidden="false" customHeight="false" outlineLevel="0" collapsed="false">
      <c r="A148" s="2" t="s">
        <v>1228</v>
      </c>
      <c r="B148" s="2" t="s">
        <v>695</v>
      </c>
      <c r="C148" s="6" t="n">
        <v>45331</v>
      </c>
      <c r="D148" s="2" t="s">
        <v>30</v>
      </c>
      <c r="E148" s="2" t="s">
        <v>1071</v>
      </c>
      <c r="F148" s="2" t="s">
        <v>1067</v>
      </c>
      <c r="G148" s="2" t="s">
        <v>1068</v>
      </c>
      <c r="H148" s="2" t="s">
        <v>57</v>
      </c>
      <c r="I148" s="2" t="s">
        <v>1072</v>
      </c>
    </row>
    <row r="149" customFormat="false" ht="15" hidden="false" customHeight="false" outlineLevel="0" collapsed="false">
      <c r="A149" s="2" t="s">
        <v>1229</v>
      </c>
      <c r="B149" s="2" t="s">
        <v>560</v>
      </c>
      <c r="C149" s="6" t="n">
        <v>45334</v>
      </c>
      <c r="D149" s="2" t="s">
        <v>30</v>
      </c>
      <c r="E149" s="2" t="s">
        <v>1074</v>
      </c>
      <c r="F149" s="2" t="s">
        <v>1075</v>
      </c>
      <c r="G149" s="2" t="s">
        <v>1068</v>
      </c>
      <c r="H149" s="2" t="s">
        <v>45</v>
      </c>
      <c r="I149" s="2" t="s">
        <v>1072</v>
      </c>
    </row>
    <row r="150" customFormat="false" ht="15" hidden="false" customHeight="false" outlineLevel="0" collapsed="false">
      <c r="A150" s="2" t="s">
        <v>1230</v>
      </c>
      <c r="B150" s="2" t="s">
        <v>171</v>
      </c>
      <c r="C150" s="6" t="n">
        <v>45335</v>
      </c>
      <c r="D150" s="2" t="s">
        <v>30</v>
      </c>
      <c r="E150" s="2" t="s">
        <v>1101</v>
      </c>
      <c r="F150" s="2" t="s">
        <v>1067</v>
      </c>
      <c r="G150" s="2" t="s">
        <v>1085</v>
      </c>
      <c r="H150" s="2" t="s">
        <v>67</v>
      </c>
      <c r="I150" s="2" t="s">
        <v>1069</v>
      </c>
    </row>
    <row r="151" customFormat="false" ht="15" hidden="false" customHeight="false" outlineLevel="0" collapsed="false">
      <c r="A151" s="2" t="s">
        <v>1231</v>
      </c>
      <c r="B151" s="2" t="s">
        <v>375</v>
      </c>
      <c r="C151" s="6" t="n">
        <v>45341</v>
      </c>
      <c r="D151" s="2" t="s">
        <v>30</v>
      </c>
      <c r="E151" s="2" t="s">
        <v>1080</v>
      </c>
      <c r="F151" s="2" t="s">
        <v>1067</v>
      </c>
      <c r="G151" s="2" t="s">
        <v>1085</v>
      </c>
      <c r="H151" s="2" t="s">
        <v>67</v>
      </c>
      <c r="I151" s="2" t="s">
        <v>1069</v>
      </c>
    </row>
    <row r="152" customFormat="false" ht="15" hidden="false" customHeight="false" outlineLevel="0" collapsed="false">
      <c r="A152" s="2" t="s">
        <v>1232</v>
      </c>
      <c r="B152" s="2" t="s">
        <v>526</v>
      </c>
      <c r="C152" s="6" t="n">
        <v>45342</v>
      </c>
      <c r="D152" s="2" t="s">
        <v>30</v>
      </c>
      <c r="E152" s="2" t="s">
        <v>1066</v>
      </c>
      <c r="F152" s="2" t="s">
        <v>1067</v>
      </c>
      <c r="G152" s="2" t="s">
        <v>1068</v>
      </c>
      <c r="H152" s="2" t="s">
        <v>45</v>
      </c>
      <c r="I152" s="2" t="s">
        <v>1069</v>
      </c>
    </row>
    <row r="153" customFormat="false" ht="15" hidden="false" customHeight="false" outlineLevel="0" collapsed="false">
      <c r="A153" s="2" t="s">
        <v>1233</v>
      </c>
      <c r="B153" s="2" t="s">
        <v>616</v>
      </c>
      <c r="C153" s="6" t="n">
        <v>45342</v>
      </c>
      <c r="D153" s="2" t="s">
        <v>30</v>
      </c>
      <c r="E153" s="2" t="s">
        <v>1099</v>
      </c>
      <c r="F153" s="2" t="s">
        <v>1075</v>
      </c>
      <c r="G153" s="2" t="s">
        <v>1068</v>
      </c>
      <c r="H153" s="2" t="s">
        <v>37</v>
      </c>
      <c r="I153" s="2" t="s">
        <v>1072</v>
      </c>
    </row>
    <row r="154" customFormat="false" ht="15" hidden="false" customHeight="false" outlineLevel="0" collapsed="false">
      <c r="A154" s="2" t="s">
        <v>1234</v>
      </c>
      <c r="B154" s="2" t="s">
        <v>139</v>
      </c>
      <c r="C154" s="6" t="n">
        <v>45344</v>
      </c>
      <c r="D154" s="2" t="s">
        <v>30</v>
      </c>
      <c r="E154" s="2" t="s">
        <v>1101</v>
      </c>
      <c r="F154" s="2" t="s">
        <v>1067</v>
      </c>
      <c r="G154" s="2" t="s">
        <v>1085</v>
      </c>
      <c r="H154" s="2" t="s">
        <v>67</v>
      </c>
      <c r="I154" s="2" t="s">
        <v>1072</v>
      </c>
    </row>
    <row r="155" customFormat="false" ht="15" hidden="false" customHeight="false" outlineLevel="0" collapsed="false">
      <c r="A155" s="2" t="s">
        <v>1235</v>
      </c>
      <c r="B155" s="2" t="s">
        <v>106</v>
      </c>
      <c r="C155" s="6" t="n">
        <v>45345</v>
      </c>
      <c r="D155" s="2" t="s">
        <v>30</v>
      </c>
      <c r="E155" s="2" t="s">
        <v>1066</v>
      </c>
      <c r="F155" s="2" t="s">
        <v>1067</v>
      </c>
      <c r="G155" s="2" t="s">
        <v>1068</v>
      </c>
      <c r="H155" s="2" t="s">
        <v>37</v>
      </c>
      <c r="I155" s="2" t="s">
        <v>1069</v>
      </c>
    </row>
    <row r="156" customFormat="false" ht="15" hidden="false" customHeight="false" outlineLevel="0" collapsed="false">
      <c r="A156" s="2" t="s">
        <v>1236</v>
      </c>
      <c r="B156" s="2" t="s">
        <v>127</v>
      </c>
      <c r="C156" s="6" t="n">
        <v>45350</v>
      </c>
      <c r="D156" s="2" t="s">
        <v>30</v>
      </c>
      <c r="E156" s="2" t="s">
        <v>1099</v>
      </c>
      <c r="F156" s="2" t="s">
        <v>1075</v>
      </c>
      <c r="G156" s="2" t="s">
        <v>1068</v>
      </c>
      <c r="H156" s="2" t="s">
        <v>37</v>
      </c>
      <c r="I156" s="2" t="s">
        <v>1069</v>
      </c>
    </row>
    <row r="157" customFormat="false" ht="15" hidden="false" customHeight="false" outlineLevel="0" collapsed="false">
      <c r="A157" s="2" t="s">
        <v>1237</v>
      </c>
      <c r="B157" s="2" t="s">
        <v>252</v>
      </c>
      <c r="C157" s="6" t="n">
        <v>45351</v>
      </c>
      <c r="D157" s="2" t="s">
        <v>30</v>
      </c>
      <c r="E157" s="2" t="s">
        <v>1066</v>
      </c>
      <c r="F157" s="2" t="s">
        <v>1067</v>
      </c>
      <c r="G157" s="2" t="s">
        <v>1068</v>
      </c>
      <c r="H157" s="2" t="s">
        <v>37</v>
      </c>
      <c r="I157" s="2" t="s">
        <v>1072</v>
      </c>
    </row>
    <row r="158" customFormat="false" ht="15" hidden="false" customHeight="false" outlineLevel="0" collapsed="false">
      <c r="A158" s="2" t="s">
        <v>1238</v>
      </c>
      <c r="B158" s="2" t="s">
        <v>395</v>
      </c>
      <c r="C158" s="6" t="n">
        <v>45351</v>
      </c>
      <c r="D158" s="2" t="s">
        <v>30</v>
      </c>
      <c r="E158" s="2" t="s">
        <v>1099</v>
      </c>
      <c r="F158" s="2" t="s">
        <v>1075</v>
      </c>
      <c r="G158" s="2" t="s">
        <v>1068</v>
      </c>
      <c r="H158" s="2" t="s">
        <v>37</v>
      </c>
      <c r="I158" s="2" t="s">
        <v>1093</v>
      </c>
    </row>
    <row r="159" customFormat="false" ht="15" hidden="false" customHeight="false" outlineLevel="0" collapsed="false">
      <c r="A159" s="2" t="s">
        <v>1239</v>
      </c>
      <c r="B159" s="2" t="s">
        <v>475</v>
      </c>
      <c r="C159" s="6" t="n">
        <v>45352</v>
      </c>
      <c r="D159" s="2" t="s">
        <v>30</v>
      </c>
      <c r="E159" s="2" t="s">
        <v>1066</v>
      </c>
      <c r="F159" s="2" t="s">
        <v>1067</v>
      </c>
      <c r="G159" s="2" t="s">
        <v>1068</v>
      </c>
      <c r="H159" s="2" t="s">
        <v>45</v>
      </c>
      <c r="I159" s="2" t="s">
        <v>1069</v>
      </c>
    </row>
    <row r="160" customFormat="false" ht="15" hidden="false" customHeight="false" outlineLevel="0" collapsed="false">
      <c r="A160" s="2" t="s">
        <v>1240</v>
      </c>
      <c r="B160" s="2" t="s">
        <v>139</v>
      </c>
      <c r="C160" s="6" t="n">
        <v>45357</v>
      </c>
      <c r="D160" s="2" t="s">
        <v>30</v>
      </c>
      <c r="E160" s="2" t="s">
        <v>1080</v>
      </c>
      <c r="F160" s="2" t="s">
        <v>1067</v>
      </c>
      <c r="G160" s="2" t="s">
        <v>1068</v>
      </c>
      <c r="H160" s="2" t="s">
        <v>45</v>
      </c>
      <c r="I160" s="2" t="s">
        <v>1069</v>
      </c>
    </row>
    <row r="161" customFormat="false" ht="15" hidden="false" customHeight="false" outlineLevel="0" collapsed="false">
      <c r="A161" s="2" t="s">
        <v>1241</v>
      </c>
      <c r="B161" s="2" t="s">
        <v>375</v>
      </c>
      <c r="C161" s="6" t="n">
        <v>45357</v>
      </c>
      <c r="D161" s="2" t="s">
        <v>30</v>
      </c>
      <c r="E161" s="2" t="s">
        <v>1090</v>
      </c>
      <c r="F161" s="2" t="s">
        <v>1067</v>
      </c>
      <c r="G161" s="2" t="s">
        <v>1068</v>
      </c>
      <c r="H161" s="2" t="s">
        <v>45</v>
      </c>
      <c r="I161" s="2" t="s">
        <v>1072</v>
      </c>
    </row>
    <row r="162" customFormat="false" ht="15" hidden="false" customHeight="false" outlineLevel="0" collapsed="false">
      <c r="A162" s="2" t="s">
        <v>1242</v>
      </c>
      <c r="B162" s="2" t="s">
        <v>600</v>
      </c>
      <c r="C162" s="6" t="n">
        <v>45358</v>
      </c>
      <c r="D162" s="2" t="s">
        <v>30</v>
      </c>
      <c r="E162" s="2" t="s">
        <v>1090</v>
      </c>
      <c r="F162" s="2" t="s">
        <v>1067</v>
      </c>
      <c r="G162" s="2" t="s">
        <v>1068</v>
      </c>
      <c r="H162" s="2" t="s">
        <v>57</v>
      </c>
      <c r="I162" s="2" t="s">
        <v>1069</v>
      </c>
    </row>
    <row r="163" customFormat="false" ht="15" hidden="false" customHeight="false" outlineLevel="0" collapsed="false">
      <c r="A163" s="2" t="s">
        <v>1243</v>
      </c>
      <c r="B163" s="2" t="s">
        <v>151</v>
      </c>
      <c r="C163" s="6" t="n">
        <v>45359</v>
      </c>
      <c r="D163" s="2" t="s">
        <v>30</v>
      </c>
      <c r="E163" s="2" t="s">
        <v>1066</v>
      </c>
      <c r="F163" s="2" t="s">
        <v>1067</v>
      </c>
      <c r="G163" s="2" t="s">
        <v>1068</v>
      </c>
      <c r="H163" s="2" t="s">
        <v>45</v>
      </c>
      <c r="I163" s="2" t="s">
        <v>1069</v>
      </c>
    </row>
    <row r="164" customFormat="false" ht="15" hidden="false" customHeight="false" outlineLevel="0" collapsed="false">
      <c r="A164" s="2" t="s">
        <v>1244</v>
      </c>
      <c r="B164" s="2" t="s">
        <v>230</v>
      </c>
      <c r="C164" s="6" t="n">
        <v>45359</v>
      </c>
      <c r="D164" s="2" t="s">
        <v>30</v>
      </c>
      <c r="E164" s="2" t="s">
        <v>1099</v>
      </c>
      <c r="F164" s="2" t="s">
        <v>1075</v>
      </c>
      <c r="G164" s="2" t="s">
        <v>1068</v>
      </c>
      <c r="H164" s="2" t="s">
        <v>57</v>
      </c>
      <c r="I164" s="2" t="s">
        <v>1093</v>
      </c>
    </row>
    <row r="165" customFormat="false" ht="15" hidden="false" customHeight="false" outlineLevel="0" collapsed="false">
      <c r="A165" s="2" t="s">
        <v>1245</v>
      </c>
      <c r="B165" s="2" t="s">
        <v>401</v>
      </c>
      <c r="C165" s="6" t="n">
        <v>45359</v>
      </c>
      <c r="D165" s="2" t="s">
        <v>30</v>
      </c>
      <c r="E165" s="2" t="s">
        <v>1074</v>
      </c>
      <c r="F165" s="2" t="s">
        <v>1075</v>
      </c>
      <c r="G165" s="2" t="s">
        <v>1068</v>
      </c>
      <c r="H165" s="2" t="s">
        <v>37</v>
      </c>
      <c r="I165" s="2" t="s">
        <v>1072</v>
      </c>
    </row>
    <row r="166" customFormat="false" ht="15" hidden="false" customHeight="false" outlineLevel="0" collapsed="false">
      <c r="A166" s="2" t="s">
        <v>1246</v>
      </c>
      <c r="B166" s="2" t="s">
        <v>655</v>
      </c>
      <c r="C166" s="6" t="n">
        <v>45359</v>
      </c>
      <c r="D166" s="2" t="s">
        <v>30</v>
      </c>
      <c r="E166" s="2" t="s">
        <v>1071</v>
      </c>
      <c r="F166" s="2" t="s">
        <v>1067</v>
      </c>
      <c r="G166" s="2" t="s">
        <v>1085</v>
      </c>
      <c r="H166" s="2" t="s">
        <v>67</v>
      </c>
      <c r="I166" s="2" t="s">
        <v>1069</v>
      </c>
    </row>
    <row r="167" customFormat="false" ht="15" hidden="false" customHeight="false" outlineLevel="0" collapsed="false">
      <c r="A167" s="2" t="s">
        <v>1247</v>
      </c>
      <c r="B167" s="2" t="s">
        <v>180</v>
      </c>
      <c r="C167" s="6" t="n">
        <v>45362</v>
      </c>
      <c r="D167" s="2" t="s">
        <v>30</v>
      </c>
      <c r="E167" s="2" t="s">
        <v>1099</v>
      </c>
      <c r="F167" s="2" t="s">
        <v>1075</v>
      </c>
      <c r="G167" s="2" t="s">
        <v>1068</v>
      </c>
      <c r="H167" s="2" t="s">
        <v>45</v>
      </c>
      <c r="I167" s="2" t="s">
        <v>1072</v>
      </c>
    </row>
    <row r="168" customFormat="false" ht="15" hidden="false" customHeight="false" outlineLevel="0" collapsed="false">
      <c r="A168" s="2" t="s">
        <v>1248</v>
      </c>
      <c r="B168" s="2" t="s">
        <v>528</v>
      </c>
      <c r="C168" s="6" t="n">
        <v>45363</v>
      </c>
      <c r="D168" s="2" t="s">
        <v>30</v>
      </c>
      <c r="E168" s="2" t="s">
        <v>1114</v>
      </c>
      <c r="F168" s="2" t="s">
        <v>1075</v>
      </c>
      <c r="G168" s="2" t="s">
        <v>1068</v>
      </c>
      <c r="H168" s="2" t="s">
        <v>57</v>
      </c>
      <c r="I168" s="2" t="s">
        <v>1069</v>
      </c>
    </row>
    <row r="169" customFormat="false" ht="15" hidden="false" customHeight="false" outlineLevel="0" collapsed="false">
      <c r="A169" s="2" t="s">
        <v>1249</v>
      </c>
      <c r="B169" s="2" t="s">
        <v>175</v>
      </c>
      <c r="C169" s="6" t="n">
        <v>45364</v>
      </c>
      <c r="D169" s="2" t="s">
        <v>30</v>
      </c>
      <c r="E169" s="2" t="s">
        <v>1101</v>
      </c>
      <c r="F169" s="2" t="s">
        <v>1067</v>
      </c>
      <c r="G169" s="2" t="s">
        <v>1068</v>
      </c>
      <c r="H169" s="2" t="s">
        <v>45</v>
      </c>
      <c r="I169" s="2" t="s">
        <v>1072</v>
      </c>
    </row>
    <row r="170" customFormat="false" ht="15" hidden="false" customHeight="false" outlineLevel="0" collapsed="false">
      <c r="A170" s="2" t="s">
        <v>1250</v>
      </c>
      <c r="B170" s="2" t="s">
        <v>497</v>
      </c>
      <c r="C170" s="6" t="n">
        <v>45364</v>
      </c>
      <c r="D170" s="2" t="s">
        <v>30</v>
      </c>
      <c r="E170" s="2" t="s">
        <v>1080</v>
      </c>
      <c r="F170" s="2" t="s">
        <v>1067</v>
      </c>
      <c r="G170" s="2" t="s">
        <v>1068</v>
      </c>
      <c r="H170" s="2" t="s">
        <v>45</v>
      </c>
      <c r="I170" s="2" t="s">
        <v>1069</v>
      </c>
    </row>
    <row r="171" customFormat="false" ht="15" hidden="false" customHeight="false" outlineLevel="0" collapsed="false">
      <c r="A171" s="2" t="s">
        <v>1251</v>
      </c>
      <c r="B171" s="2" t="s">
        <v>334</v>
      </c>
      <c r="C171" s="6" t="n">
        <v>45371</v>
      </c>
      <c r="D171" s="2" t="s">
        <v>30</v>
      </c>
      <c r="E171" s="2" t="s">
        <v>1090</v>
      </c>
      <c r="F171" s="2" t="s">
        <v>1067</v>
      </c>
      <c r="G171" s="2" t="s">
        <v>1068</v>
      </c>
      <c r="H171" s="2" t="s">
        <v>45</v>
      </c>
      <c r="I171" s="2" t="s">
        <v>1069</v>
      </c>
    </row>
    <row r="172" customFormat="false" ht="15" hidden="false" customHeight="false" outlineLevel="0" collapsed="false">
      <c r="A172" s="2" t="s">
        <v>1252</v>
      </c>
      <c r="B172" s="2" t="s">
        <v>198</v>
      </c>
      <c r="C172" s="6" t="n">
        <v>45373</v>
      </c>
      <c r="D172" s="2" t="s">
        <v>30</v>
      </c>
      <c r="E172" s="2" t="s">
        <v>1090</v>
      </c>
      <c r="F172" s="2" t="s">
        <v>1067</v>
      </c>
      <c r="G172" s="2" t="s">
        <v>1068</v>
      </c>
      <c r="H172" s="2" t="s">
        <v>37</v>
      </c>
      <c r="I172" s="2" t="s">
        <v>1069</v>
      </c>
    </row>
    <row r="173" customFormat="false" ht="15" hidden="false" customHeight="false" outlineLevel="0" collapsed="false">
      <c r="A173" s="2" t="s">
        <v>1253</v>
      </c>
      <c r="B173" s="2" t="s">
        <v>447</v>
      </c>
      <c r="C173" s="6" t="n">
        <v>45373</v>
      </c>
      <c r="D173" s="2" t="s">
        <v>30</v>
      </c>
      <c r="E173" s="2" t="s">
        <v>1080</v>
      </c>
      <c r="F173" s="2" t="s">
        <v>1067</v>
      </c>
      <c r="G173" s="2" t="s">
        <v>1068</v>
      </c>
      <c r="H173" s="2" t="s">
        <v>45</v>
      </c>
      <c r="I173" s="2" t="s">
        <v>1072</v>
      </c>
    </row>
    <row r="174" customFormat="false" ht="15" hidden="false" customHeight="false" outlineLevel="0" collapsed="false">
      <c r="A174" s="2" t="s">
        <v>1254</v>
      </c>
      <c r="B174" s="2" t="s">
        <v>375</v>
      </c>
      <c r="C174" s="6" t="n">
        <v>45377</v>
      </c>
      <c r="D174" s="2" t="s">
        <v>30</v>
      </c>
      <c r="E174" s="2" t="s">
        <v>1071</v>
      </c>
      <c r="F174" s="2" t="s">
        <v>1067</v>
      </c>
      <c r="G174" s="2" t="s">
        <v>1085</v>
      </c>
      <c r="H174" s="2" t="s">
        <v>67</v>
      </c>
      <c r="I174" s="2" t="s">
        <v>1093</v>
      </c>
    </row>
    <row r="175" customFormat="false" ht="15" hidden="false" customHeight="false" outlineLevel="0" collapsed="false">
      <c r="A175" s="2" t="s">
        <v>1255</v>
      </c>
      <c r="B175" s="2" t="s">
        <v>318</v>
      </c>
      <c r="C175" s="6" t="n">
        <v>45378</v>
      </c>
      <c r="D175" s="2" t="s">
        <v>30</v>
      </c>
      <c r="E175" s="2" t="s">
        <v>1066</v>
      </c>
      <c r="F175" s="2" t="s">
        <v>1067</v>
      </c>
      <c r="G175" s="2" t="s">
        <v>1068</v>
      </c>
      <c r="H175" s="2" t="s">
        <v>45</v>
      </c>
      <c r="I175" s="2" t="s">
        <v>1072</v>
      </c>
    </row>
    <row r="176" customFormat="false" ht="15" hidden="false" customHeight="false" outlineLevel="0" collapsed="false">
      <c r="A176" s="2" t="s">
        <v>1256</v>
      </c>
      <c r="B176" s="2" t="s">
        <v>277</v>
      </c>
      <c r="C176" s="6" t="n">
        <v>45380</v>
      </c>
      <c r="D176" s="2" t="s">
        <v>30</v>
      </c>
      <c r="E176" s="2" t="s">
        <v>1071</v>
      </c>
      <c r="F176" s="2" t="s">
        <v>1067</v>
      </c>
      <c r="G176" s="2" t="s">
        <v>1068</v>
      </c>
      <c r="H176" s="2" t="s">
        <v>37</v>
      </c>
      <c r="I176" s="2" t="s">
        <v>1069</v>
      </c>
    </row>
    <row r="177" customFormat="false" ht="15" hidden="false" customHeight="false" outlineLevel="0" collapsed="false">
      <c r="A177" s="2" t="s">
        <v>1257</v>
      </c>
      <c r="B177" s="2" t="s">
        <v>657</v>
      </c>
      <c r="C177" s="6" t="n">
        <v>45385</v>
      </c>
      <c r="D177" s="2" t="s">
        <v>30</v>
      </c>
      <c r="E177" s="2" t="s">
        <v>1071</v>
      </c>
      <c r="F177" s="2" t="s">
        <v>1067</v>
      </c>
      <c r="G177" s="2" t="s">
        <v>1068</v>
      </c>
      <c r="H177" s="2" t="s">
        <v>37</v>
      </c>
      <c r="I177" s="2" t="s">
        <v>1069</v>
      </c>
    </row>
    <row r="178" customFormat="false" ht="15" hidden="false" customHeight="false" outlineLevel="0" collapsed="false">
      <c r="A178" s="2" t="s">
        <v>1258</v>
      </c>
      <c r="B178" s="2" t="s">
        <v>201</v>
      </c>
      <c r="C178" s="6" t="n">
        <v>45386</v>
      </c>
      <c r="D178" s="2" t="s">
        <v>30</v>
      </c>
      <c r="E178" s="2" t="s">
        <v>1078</v>
      </c>
      <c r="F178" s="2" t="s">
        <v>1075</v>
      </c>
      <c r="G178" s="2" t="s">
        <v>1068</v>
      </c>
      <c r="H178" s="2" t="s">
        <v>45</v>
      </c>
      <c r="I178" s="2" t="s">
        <v>1072</v>
      </c>
    </row>
    <row r="179" customFormat="false" ht="15" hidden="false" customHeight="false" outlineLevel="0" collapsed="false">
      <c r="A179" s="2" t="s">
        <v>1259</v>
      </c>
      <c r="B179" s="2" t="s">
        <v>302</v>
      </c>
      <c r="C179" s="6" t="n">
        <v>45386</v>
      </c>
      <c r="D179" s="2" t="s">
        <v>30</v>
      </c>
      <c r="E179" s="2" t="s">
        <v>1080</v>
      </c>
      <c r="F179" s="2" t="s">
        <v>1067</v>
      </c>
      <c r="G179" s="2" t="s">
        <v>1068</v>
      </c>
      <c r="H179" s="2" t="s">
        <v>57</v>
      </c>
      <c r="I179" s="2" t="s">
        <v>1069</v>
      </c>
    </row>
    <row r="180" customFormat="false" ht="15" hidden="false" customHeight="false" outlineLevel="0" collapsed="false">
      <c r="A180" s="2" t="s">
        <v>1260</v>
      </c>
      <c r="B180" s="2" t="s">
        <v>745</v>
      </c>
      <c r="C180" s="6" t="n">
        <v>45386</v>
      </c>
      <c r="D180" s="2" t="s">
        <v>30</v>
      </c>
      <c r="E180" s="2" t="s">
        <v>1066</v>
      </c>
      <c r="F180" s="2" t="s">
        <v>1067</v>
      </c>
      <c r="G180" s="2" t="s">
        <v>1085</v>
      </c>
      <c r="H180" s="2" t="s">
        <v>67</v>
      </c>
      <c r="I180" s="2" t="s">
        <v>1069</v>
      </c>
    </row>
    <row r="181" customFormat="false" ht="15" hidden="false" customHeight="false" outlineLevel="0" collapsed="false">
      <c r="A181" s="2" t="s">
        <v>1261</v>
      </c>
      <c r="B181" s="2" t="s">
        <v>401</v>
      </c>
      <c r="C181" s="6" t="n">
        <v>45390</v>
      </c>
      <c r="D181" s="2" t="s">
        <v>30</v>
      </c>
      <c r="E181" s="2" t="s">
        <v>1066</v>
      </c>
      <c r="F181" s="2" t="s">
        <v>1067</v>
      </c>
      <c r="G181" s="2" t="s">
        <v>1085</v>
      </c>
      <c r="H181" s="2" t="s">
        <v>67</v>
      </c>
      <c r="I181" s="2" t="s">
        <v>1069</v>
      </c>
    </row>
    <row r="182" customFormat="false" ht="15" hidden="false" customHeight="false" outlineLevel="0" collapsed="false">
      <c r="A182" s="2" t="s">
        <v>1262</v>
      </c>
      <c r="B182" s="2" t="s">
        <v>471</v>
      </c>
      <c r="C182" s="6" t="n">
        <v>45391</v>
      </c>
      <c r="D182" s="2" t="s">
        <v>30</v>
      </c>
      <c r="E182" s="2" t="s">
        <v>1095</v>
      </c>
      <c r="F182" s="2" t="s">
        <v>1075</v>
      </c>
      <c r="G182" s="2" t="s">
        <v>1068</v>
      </c>
      <c r="H182" s="2" t="s">
        <v>45</v>
      </c>
      <c r="I182" s="2" t="s">
        <v>1069</v>
      </c>
    </row>
    <row r="183" customFormat="false" ht="15" hidden="false" customHeight="false" outlineLevel="0" collapsed="false">
      <c r="A183" s="2" t="s">
        <v>1263</v>
      </c>
      <c r="B183" s="2" t="s">
        <v>131</v>
      </c>
      <c r="C183" s="6" t="n">
        <v>45392</v>
      </c>
      <c r="D183" s="2" t="s">
        <v>30</v>
      </c>
      <c r="E183" s="2" t="s">
        <v>1080</v>
      </c>
      <c r="F183" s="2" t="s">
        <v>1067</v>
      </c>
      <c r="G183" s="2" t="s">
        <v>1068</v>
      </c>
      <c r="H183" s="2" t="s">
        <v>45</v>
      </c>
      <c r="I183" s="2" t="s">
        <v>1069</v>
      </c>
    </row>
    <row r="184" customFormat="false" ht="15" hidden="false" customHeight="false" outlineLevel="0" collapsed="false">
      <c r="A184" s="2" t="s">
        <v>1264</v>
      </c>
      <c r="B184" s="2" t="s">
        <v>88</v>
      </c>
      <c r="C184" s="6" t="n">
        <v>45393</v>
      </c>
      <c r="D184" s="2" t="s">
        <v>30</v>
      </c>
      <c r="E184" s="2" t="s">
        <v>1078</v>
      </c>
      <c r="F184" s="2" t="s">
        <v>1075</v>
      </c>
      <c r="G184" s="2" t="s">
        <v>1068</v>
      </c>
      <c r="H184" s="2" t="s">
        <v>45</v>
      </c>
      <c r="I184" s="2" t="s">
        <v>1093</v>
      </c>
    </row>
    <row r="185" customFormat="false" ht="15" hidden="false" customHeight="false" outlineLevel="0" collapsed="false">
      <c r="A185" s="2" t="s">
        <v>1265</v>
      </c>
      <c r="B185" s="2" t="s">
        <v>163</v>
      </c>
      <c r="C185" s="6" t="n">
        <v>45397</v>
      </c>
      <c r="D185" s="2" t="s">
        <v>30</v>
      </c>
      <c r="E185" s="2" t="s">
        <v>1090</v>
      </c>
      <c r="F185" s="2" t="s">
        <v>1067</v>
      </c>
      <c r="G185" s="2" t="s">
        <v>1068</v>
      </c>
      <c r="H185" s="2" t="s">
        <v>45</v>
      </c>
      <c r="I185" s="2" t="s">
        <v>1093</v>
      </c>
    </row>
    <row r="186" customFormat="false" ht="15" hidden="false" customHeight="false" outlineLevel="0" collapsed="false">
      <c r="A186" s="2" t="s">
        <v>1266</v>
      </c>
      <c r="B186" s="2" t="s">
        <v>98</v>
      </c>
      <c r="C186" s="6" t="n">
        <v>45398</v>
      </c>
      <c r="D186" s="2" t="s">
        <v>30</v>
      </c>
      <c r="E186" s="2" t="s">
        <v>1078</v>
      </c>
      <c r="F186" s="2" t="s">
        <v>1075</v>
      </c>
      <c r="G186" s="2" t="s">
        <v>1068</v>
      </c>
      <c r="H186" s="2" t="s">
        <v>57</v>
      </c>
      <c r="I186" s="2" t="s">
        <v>1069</v>
      </c>
    </row>
    <row r="187" customFormat="false" ht="15" hidden="false" customHeight="false" outlineLevel="0" collapsed="false">
      <c r="A187" s="2" t="s">
        <v>1267</v>
      </c>
      <c r="B187" s="2" t="s">
        <v>417</v>
      </c>
      <c r="C187" s="6" t="n">
        <v>45398</v>
      </c>
      <c r="D187" s="2" t="s">
        <v>30</v>
      </c>
      <c r="E187" s="2" t="s">
        <v>1099</v>
      </c>
      <c r="F187" s="2" t="s">
        <v>1075</v>
      </c>
      <c r="G187" s="2" t="s">
        <v>1068</v>
      </c>
      <c r="H187" s="2" t="s">
        <v>45</v>
      </c>
      <c r="I187" s="2" t="s">
        <v>1072</v>
      </c>
    </row>
    <row r="188" customFormat="false" ht="15" hidden="false" customHeight="false" outlineLevel="0" collapsed="false">
      <c r="A188" s="2" t="s">
        <v>1268</v>
      </c>
      <c r="B188" s="2" t="s">
        <v>311</v>
      </c>
      <c r="C188" s="6" t="n">
        <v>45399</v>
      </c>
      <c r="D188" s="2" t="s">
        <v>30</v>
      </c>
      <c r="E188" s="2" t="s">
        <v>1080</v>
      </c>
      <c r="F188" s="2" t="s">
        <v>1067</v>
      </c>
      <c r="G188" s="2" t="s">
        <v>1068</v>
      </c>
      <c r="H188" s="2" t="s">
        <v>45</v>
      </c>
      <c r="I188" s="2" t="s">
        <v>1069</v>
      </c>
    </row>
    <row r="189" customFormat="false" ht="15" hidden="false" customHeight="false" outlineLevel="0" collapsed="false">
      <c r="A189" s="2" t="s">
        <v>1269</v>
      </c>
      <c r="B189" s="2" t="s">
        <v>618</v>
      </c>
      <c r="C189" s="6" t="n">
        <v>45401</v>
      </c>
      <c r="D189" s="2" t="s">
        <v>30</v>
      </c>
      <c r="E189" s="2" t="s">
        <v>1090</v>
      </c>
      <c r="F189" s="2" t="s">
        <v>1067</v>
      </c>
      <c r="G189" s="2" t="s">
        <v>1068</v>
      </c>
      <c r="H189" s="2" t="s">
        <v>57</v>
      </c>
      <c r="I189" s="2" t="s">
        <v>1069</v>
      </c>
    </row>
    <row r="190" customFormat="false" ht="15" hidden="false" customHeight="false" outlineLevel="0" collapsed="false">
      <c r="A190" s="2" t="s">
        <v>1270</v>
      </c>
      <c r="B190" s="2" t="s">
        <v>155</v>
      </c>
      <c r="C190" s="6" t="n">
        <v>45404</v>
      </c>
      <c r="D190" s="2" t="s">
        <v>30</v>
      </c>
      <c r="E190" s="2" t="s">
        <v>1078</v>
      </c>
      <c r="F190" s="2" t="s">
        <v>1075</v>
      </c>
      <c r="G190" s="2" t="s">
        <v>1068</v>
      </c>
      <c r="H190" s="2" t="s">
        <v>45</v>
      </c>
      <c r="I190" s="2" t="s">
        <v>1072</v>
      </c>
    </row>
    <row r="191" customFormat="false" ht="15" hidden="false" customHeight="false" outlineLevel="0" collapsed="false">
      <c r="A191" s="2" t="s">
        <v>1271</v>
      </c>
      <c r="B191" s="2" t="s">
        <v>332</v>
      </c>
      <c r="C191" s="6" t="n">
        <v>45404</v>
      </c>
      <c r="D191" s="2" t="s">
        <v>30</v>
      </c>
      <c r="E191" s="2" t="s">
        <v>1078</v>
      </c>
      <c r="F191" s="2" t="s">
        <v>1075</v>
      </c>
      <c r="G191" s="2" t="s">
        <v>1068</v>
      </c>
      <c r="H191" s="2" t="s">
        <v>57</v>
      </c>
      <c r="I191" s="2" t="s">
        <v>1072</v>
      </c>
    </row>
    <row r="192" customFormat="false" ht="15" hidden="false" customHeight="false" outlineLevel="0" collapsed="false">
      <c r="A192" s="2" t="s">
        <v>1272</v>
      </c>
      <c r="B192" s="2" t="s">
        <v>85</v>
      </c>
      <c r="C192" s="6" t="n">
        <v>45406</v>
      </c>
      <c r="D192" s="2" t="s">
        <v>30</v>
      </c>
      <c r="E192" s="2" t="s">
        <v>1066</v>
      </c>
      <c r="F192" s="2" t="s">
        <v>1067</v>
      </c>
      <c r="G192" s="2" t="s">
        <v>1068</v>
      </c>
      <c r="H192" s="2" t="s">
        <v>45</v>
      </c>
      <c r="I192" s="2" t="s">
        <v>1069</v>
      </c>
    </row>
    <row r="193" customFormat="false" ht="15" hidden="false" customHeight="false" outlineLevel="0" collapsed="false">
      <c r="A193" s="2" t="s">
        <v>1273</v>
      </c>
      <c r="B193" s="2" t="s">
        <v>411</v>
      </c>
      <c r="C193" s="6" t="n">
        <v>45412</v>
      </c>
      <c r="D193" s="2" t="s">
        <v>30</v>
      </c>
      <c r="E193" s="2" t="s">
        <v>1095</v>
      </c>
      <c r="F193" s="2" t="s">
        <v>1075</v>
      </c>
      <c r="G193" s="2" t="s">
        <v>1068</v>
      </c>
      <c r="H193" s="2" t="s">
        <v>37</v>
      </c>
      <c r="I193" s="2" t="s">
        <v>1069</v>
      </c>
    </row>
    <row r="194" customFormat="false" ht="15" hidden="false" customHeight="false" outlineLevel="0" collapsed="false">
      <c r="A194" s="2" t="s">
        <v>1274</v>
      </c>
      <c r="B194" s="2" t="s">
        <v>616</v>
      </c>
      <c r="C194" s="6" t="n">
        <v>45412</v>
      </c>
      <c r="D194" s="2" t="s">
        <v>30</v>
      </c>
      <c r="E194" s="2" t="s">
        <v>1099</v>
      </c>
      <c r="F194" s="2" t="s">
        <v>1075</v>
      </c>
      <c r="G194" s="2" t="s">
        <v>1068</v>
      </c>
      <c r="H194" s="2" t="s">
        <v>45</v>
      </c>
      <c r="I194" s="2" t="s">
        <v>1069</v>
      </c>
    </row>
    <row r="195" customFormat="false" ht="15" hidden="false" customHeight="false" outlineLevel="0" collapsed="false">
      <c r="A195" s="2" t="s">
        <v>1275</v>
      </c>
      <c r="B195" s="2" t="s">
        <v>281</v>
      </c>
      <c r="C195" s="6" t="n">
        <v>45413</v>
      </c>
      <c r="D195" s="2" t="s">
        <v>30</v>
      </c>
      <c r="E195" s="2" t="s">
        <v>1114</v>
      </c>
      <c r="F195" s="2" t="s">
        <v>1075</v>
      </c>
      <c r="G195" s="2" t="s">
        <v>1068</v>
      </c>
      <c r="H195" s="2" t="s">
        <v>45</v>
      </c>
      <c r="I195" s="2" t="s">
        <v>1069</v>
      </c>
    </row>
    <row r="196" customFormat="false" ht="15" hidden="false" customHeight="false" outlineLevel="0" collapsed="false">
      <c r="A196" s="2" t="s">
        <v>1276</v>
      </c>
      <c r="B196" s="2" t="s">
        <v>109</v>
      </c>
      <c r="C196" s="6" t="n">
        <v>45414</v>
      </c>
      <c r="D196" s="2" t="s">
        <v>30</v>
      </c>
      <c r="E196" s="2" t="s">
        <v>1114</v>
      </c>
      <c r="F196" s="2" t="s">
        <v>1075</v>
      </c>
      <c r="G196" s="2" t="s">
        <v>1068</v>
      </c>
      <c r="H196" s="2" t="s">
        <v>57</v>
      </c>
      <c r="I196" s="2" t="s">
        <v>1093</v>
      </c>
    </row>
    <row r="197" customFormat="false" ht="15" hidden="false" customHeight="false" outlineLevel="0" collapsed="false">
      <c r="A197" s="2" t="s">
        <v>1277</v>
      </c>
      <c r="B197" s="2" t="s">
        <v>459</v>
      </c>
      <c r="C197" s="6" t="n">
        <v>45415</v>
      </c>
      <c r="D197" s="2" t="s">
        <v>30</v>
      </c>
      <c r="E197" s="2" t="s">
        <v>1114</v>
      </c>
      <c r="F197" s="2" t="s">
        <v>1075</v>
      </c>
      <c r="G197" s="2" t="s">
        <v>1068</v>
      </c>
      <c r="H197" s="2" t="s">
        <v>45</v>
      </c>
      <c r="I197" s="2" t="s">
        <v>1069</v>
      </c>
    </row>
    <row r="198" customFormat="false" ht="15" hidden="false" customHeight="false" outlineLevel="0" collapsed="false">
      <c r="A198" s="2" t="s">
        <v>1278</v>
      </c>
      <c r="B198" s="2" t="s">
        <v>217</v>
      </c>
      <c r="C198" s="6" t="n">
        <v>45419</v>
      </c>
      <c r="D198" s="2" t="s">
        <v>30</v>
      </c>
      <c r="E198" s="2" t="s">
        <v>1101</v>
      </c>
      <c r="F198" s="2" t="s">
        <v>1067</v>
      </c>
      <c r="G198" s="2" t="s">
        <v>1068</v>
      </c>
      <c r="H198" s="2" t="s">
        <v>57</v>
      </c>
      <c r="I198" s="2" t="s">
        <v>1072</v>
      </c>
    </row>
    <row r="199" customFormat="false" ht="15" hidden="false" customHeight="false" outlineLevel="0" collapsed="false">
      <c r="A199" s="2" t="s">
        <v>1279</v>
      </c>
      <c r="B199" s="2" t="s">
        <v>214</v>
      </c>
      <c r="C199" s="6" t="n">
        <v>45420</v>
      </c>
      <c r="D199" s="2" t="s">
        <v>30</v>
      </c>
      <c r="E199" s="2" t="s">
        <v>1101</v>
      </c>
      <c r="F199" s="2" t="s">
        <v>1067</v>
      </c>
      <c r="G199" s="2" t="s">
        <v>1068</v>
      </c>
      <c r="H199" s="2" t="s">
        <v>45</v>
      </c>
      <c r="I199" s="2" t="s">
        <v>1072</v>
      </c>
    </row>
    <row r="200" customFormat="false" ht="15" hidden="false" customHeight="false" outlineLevel="0" collapsed="false">
      <c r="A200" s="2" t="s">
        <v>1280</v>
      </c>
      <c r="B200" s="2" t="s">
        <v>633</v>
      </c>
      <c r="C200" s="6" t="n">
        <v>45420</v>
      </c>
      <c r="D200" s="2" t="s">
        <v>30</v>
      </c>
      <c r="E200" s="2" t="s">
        <v>1080</v>
      </c>
      <c r="F200" s="2" t="s">
        <v>1067</v>
      </c>
      <c r="G200" s="2" t="s">
        <v>1085</v>
      </c>
      <c r="H200" s="2" t="s">
        <v>67</v>
      </c>
      <c r="I200" s="2" t="s">
        <v>1072</v>
      </c>
    </row>
    <row r="201" customFormat="false" ht="15" hidden="false" customHeight="false" outlineLevel="0" collapsed="false">
      <c r="A201" s="2" t="s">
        <v>1281</v>
      </c>
      <c r="B201" s="2" t="s">
        <v>274</v>
      </c>
      <c r="C201" s="6" t="n">
        <v>45425</v>
      </c>
      <c r="D201" s="2" t="s">
        <v>30</v>
      </c>
      <c r="E201" s="2" t="s">
        <v>1078</v>
      </c>
      <c r="F201" s="2" t="s">
        <v>1075</v>
      </c>
      <c r="G201" s="2" t="s">
        <v>1068</v>
      </c>
      <c r="H201" s="2" t="s">
        <v>45</v>
      </c>
      <c r="I201" s="2" t="s">
        <v>1069</v>
      </c>
    </row>
    <row r="202" customFormat="false" ht="15" hidden="false" customHeight="false" outlineLevel="0" collapsed="false">
      <c r="A202" s="2" t="s">
        <v>1282</v>
      </c>
      <c r="B202" s="2" t="s">
        <v>182</v>
      </c>
      <c r="C202" s="6" t="n">
        <v>45427</v>
      </c>
      <c r="D202" s="2" t="s">
        <v>30</v>
      </c>
      <c r="E202" s="2" t="s">
        <v>1080</v>
      </c>
      <c r="F202" s="2" t="s">
        <v>1067</v>
      </c>
      <c r="G202" s="2" t="s">
        <v>1068</v>
      </c>
      <c r="H202" s="2" t="s">
        <v>37</v>
      </c>
      <c r="I202" s="2" t="s">
        <v>1069</v>
      </c>
    </row>
    <row r="203" customFormat="false" ht="15" hidden="false" customHeight="false" outlineLevel="0" collapsed="false">
      <c r="A203" s="2" t="s">
        <v>1283</v>
      </c>
      <c r="B203" s="2" t="s">
        <v>644</v>
      </c>
      <c r="C203" s="6" t="n">
        <v>45432</v>
      </c>
      <c r="D203" s="2" t="s">
        <v>30</v>
      </c>
      <c r="E203" s="2" t="s">
        <v>1095</v>
      </c>
      <c r="F203" s="2" t="s">
        <v>1075</v>
      </c>
      <c r="G203" s="2" t="s">
        <v>1068</v>
      </c>
      <c r="H203" s="2" t="s">
        <v>45</v>
      </c>
      <c r="I203" s="2" t="s">
        <v>1069</v>
      </c>
    </row>
    <row r="204" customFormat="false" ht="15" hidden="false" customHeight="false" outlineLevel="0" collapsed="false">
      <c r="A204" s="2" t="s">
        <v>1284</v>
      </c>
      <c r="B204" s="2" t="s">
        <v>675</v>
      </c>
      <c r="C204" s="6" t="n">
        <v>45432</v>
      </c>
      <c r="D204" s="2" t="s">
        <v>30</v>
      </c>
      <c r="E204" s="2" t="s">
        <v>1101</v>
      </c>
      <c r="F204" s="2" t="s">
        <v>1067</v>
      </c>
      <c r="G204" s="2" t="s">
        <v>1068</v>
      </c>
      <c r="H204" s="2" t="s">
        <v>45</v>
      </c>
      <c r="I204" s="2" t="s">
        <v>1069</v>
      </c>
    </row>
    <row r="205" customFormat="false" ht="15" hidden="false" customHeight="false" outlineLevel="0" collapsed="false">
      <c r="A205" s="2" t="s">
        <v>1285</v>
      </c>
      <c r="B205" s="2" t="s">
        <v>173</v>
      </c>
      <c r="C205" s="6" t="n">
        <v>45433</v>
      </c>
      <c r="D205" s="2" t="s">
        <v>30</v>
      </c>
      <c r="E205" s="2" t="s">
        <v>1080</v>
      </c>
      <c r="F205" s="2" t="s">
        <v>1067</v>
      </c>
      <c r="G205" s="2" t="s">
        <v>1068</v>
      </c>
      <c r="H205" s="2" t="s">
        <v>45</v>
      </c>
      <c r="I205" s="2" t="s">
        <v>1069</v>
      </c>
    </row>
    <row r="206" customFormat="false" ht="15" hidden="false" customHeight="false" outlineLevel="0" collapsed="false">
      <c r="A206" s="2" t="s">
        <v>1286</v>
      </c>
      <c r="B206" s="2" t="s">
        <v>459</v>
      </c>
      <c r="C206" s="6" t="n">
        <v>45436</v>
      </c>
      <c r="D206" s="2" t="s">
        <v>30</v>
      </c>
      <c r="E206" s="2" t="s">
        <v>1071</v>
      </c>
      <c r="F206" s="2" t="s">
        <v>1067</v>
      </c>
      <c r="G206" s="2" t="s">
        <v>1068</v>
      </c>
      <c r="H206" s="2" t="s">
        <v>37</v>
      </c>
      <c r="I206" s="2" t="s">
        <v>1069</v>
      </c>
    </row>
    <row r="207" customFormat="false" ht="15" hidden="false" customHeight="false" outlineLevel="0" collapsed="false">
      <c r="A207" s="2" t="s">
        <v>1287</v>
      </c>
      <c r="B207" s="2" t="s">
        <v>714</v>
      </c>
      <c r="C207" s="6" t="n">
        <v>45436</v>
      </c>
      <c r="D207" s="2" t="s">
        <v>30</v>
      </c>
      <c r="E207" s="2" t="s">
        <v>1114</v>
      </c>
      <c r="F207" s="2" t="s">
        <v>1075</v>
      </c>
      <c r="G207" s="2" t="s">
        <v>1068</v>
      </c>
      <c r="H207" s="2" t="s">
        <v>45</v>
      </c>
      <c r="I207" s="2" t="s">
        <v>1069</v>
      </c>
    </row>
    <row r="208" customFormat="false" ht="15" hidden="false" customHeight="false" outlineLevel="0" collapsed="false">
      <c r="A208" s="2" t="s">
        <v>1288</v>
      </c>
      <c r="B208" s="2" t="s">
        <v>702</v>
      </c>
      <c r="C208" s="6" t="n">
        <v>45441</v>
      </c>
      <c r="D208" s="2" t="s">
        <v>30</v>
      </c>
      <c r="E208" s="2" t="s">
        <v>1071</v>
      </c>
      <c r="F208" s="2" t="s">
        <v>1067</v>
      </c>
      <c r="G208" s="2" t="s">
        <v>1068</v>
      </c>
      <c r="H208" s="2" t="s">
        <v>37</v>
      </c>
      <c r="I208" s="2" t="s">
        <v>1069</v>
      </c>
    </row>
    <row r="209" customFormat="false" ht="15" hidden="false" customHeight="false" outlineLevel="0" collapsed="false">
      <c r="A209" s="2" t="s">
        <v>1289</v>
      </c>
      <c r="B209" s="2" t="s">
        <v>577</v>
      </c>
      <c r="C209" s="6" t="n">
        <v>45443</v>
      </c>
      <c r="D209" s="2" t="s">
        <v>30</v>
      </c>
      <c r="E209" s="2" t="s">
        <v>1080</v>
      </c>
      <c r="F209" s="2" t="s">
        <v>1067</v>
      </c>
      <c r="G209" s="2" t="s">
        <v>1068</v>
      </c>
      <c r="H209" s="2" t="s">
        <v>57</v>
      </c>
      <c r="I209" s="2" t="s">
        <v>1072</v>
      </c>
    </row>
    <row r="210" customFormat="false" ht="15" hidden="false" customHeight="false" outlineLevel="0" collapsed="false">
      <c r="A210" s="2" t="s">
        <v>1290</v>
      </c>
      <c r="B210" s="2" t="s">
        <v>714</v>
      </c>
      <c r="C210" s="6" t="n">
        <v>45446</v>
      </c>
      <c r="D210" s="2" t="s">
        <v>39</v>
      </c>
      <c r="E210" s="2" t="s">
        <v>1101</v>
      </c>
      <c r="F210" s="2" t="s">
        <v>1067</v>
      </c>
      <c r="G210" s="2" t="s">
        <v>1068</v>
      </c>
      <c r="H210" s="2" t="s">
        <v>37</v>
      </c>
      <c r="I210" s="2" t="s">
        <v>1069</v>
      </c>
    </row>
    <row r="211" customFormat="false" ht="15" hidden="false" customHeight="false" outlineLevel="0" collapsed="false">
      <c r="A211" s="2" t="s">
        <v>1291</v>
      </c>
      <c r="B211" s="2" t="s">
        <v>359</v>
      </c>
      <c r="C211" s="6" t="n">
        <v>45448</v>
      </c>
      <c r="D211" s="2" t="s">
        <v>39</v>
      </c>
      <c r="E211" s="2" t="s">
        <v>1074</v>
      </c>
      <c r="F211" s="2" t="s">
        <v>1075</v>
      </c>
      <c r="G211" s="2" t="s">
        <v>1068</v>
      </c>
      <c r="H211" s="2" t="s">
        <v>45</v>
      </c>
      <c r="I211" s="2" t="s">
        <v>1069</v>
      </c>
    </row>
    <row r="212" customFormat="false" ht="15" hidden="false" customHeight="false" outlineLevel="0" collapsed="false">
      <c r="A212" s="2" t="s">
        <v>1292</v>
      </c>
      <c r="B212" s="2" t="s">
        <v>328</v>
      </c>
      <c r="C212" s="6" t="n">
        <v>45449</v>
      </c>
      <c r="D212" s="2" t="s">
        <v>39</v>
      </c>
      <c r="E212" s="2" t="s">
        <v>1066</v>
      </c>
      <c r="F212" s="2" t="s">
        <v>1067</v>
      </c>
      <c r="G212" s="2" t="s">
        <v>1068</v>
      </c>
      <c r="H212" s="2" t="s">
        <v>37</v>
      </c>
      <c r="I212" s="2" t="s">
        <v>1072</v>
      </c>
    </row>
    <row r="213" customFormat="false" ht="15" hidden="false" customHeight="false" outlineLevel="0" collapsed="false">
      <c r="A213" s="2" t="s">
        <v>1293</v>
      </c>
      <c r="B213" s="2" t="s">
        <v>805</v>
      </c>
      <c r="C213" s="6" t="n">
        <v>45450</v>
      </c>
      <c r="D213" s="2" t="s">
        <v>39</v>
      </c>
      <c r="E213" s="2" t="s">
        <v>1099</v>
      </c>
      <c r="F213" s="2" t="s">
        <v>1075</v>
      </c>
      <c r="G213" s="2" t="s">
        <v>1068</v>
      </c>
      <c r="H213" s="2" t="s">
        <v>45</v>
      </c>
      <c r="I213" s="2" t="s">
        <v>1069</v>
      </c>
    </row>
    <row r="214" customFormat="false" ht="15" hidden="false" customHeight="false" outlineLevel="0" collapsed="false">
      <c r="A214" s="2" t="s">
        <v>1294</v>
      </c>
      <c r="B214" s="2" t="s">
        <v>163</v>
      </c>
      <c r="C214" s="6" t="n">
        <v>45453</v>
      </c>
      <c r="D214" s="2" t="s">
        <v>39</v>
      </c>
      <c r="E214" s="2" t="s">
        <v>1101</v>
      </c>
      <c r="F214" s="2" t="s">
        <v>1067</v>
      </c>
      <c r="G214" s="2" t="s">
        <v>1068</v>
      </c>
      <c r="H214" s="2" t="s">
        <v>45</v>
      </c>
      <c r="I214" s="2" t="s">
        <v>1069</v>
      </c>
    </row>
    <row r="215" customFormat="false" ht="15" hidden="false" customHeight="false" outlineLevel="0" collapsed="false">
      <c r="A215" s="2" t="s">
        <v>1295</v>
      </c>
      <c r="B215" s="2" t="s">
        <v>163</v>
      </c>
      <c r="C215" s="6" t="n">
        <v>45454</v>
      </c>
      <c r="D215" s="2" t="s">
        <v>39</v>
      </c>
      <c r="E215" s="2" t="s">
        <v>1074</v>
      </c>
      <c r="F215" s="2" t="s">
        <v>1075</v>
      </c>
      <c r="G215" s="2" t="s">
        <v>1068</v>
      </c>
      <c r="H215" s="2" t="s">
        <v>37</v>
      </c>
      <c r="I215" s="2" t="s">
        <v>1072</v>
      </c>
    </row>
    <row r="216" customFormat="false" ht="15" hidden="false" customHeight="false" outlineLevel="0" collapsed="false">
      <c r="A216" s="2" t="s">
        <v>1296</v>
      </c>
      <c r="B216" s="2" t="s">
        <v>217</v>
      </c>
      <c r="C216" s="6" t="n">
        <v>45454</v>
      </c>
      <c r="D216" s="2" t="s">
        <v>39</v>
      </c>
      <c r="E216" s="2" t="s">
        <v>1095</v>
      </c>
      <c r="F216" s="2" t="s">
        <v>1075</v>
      </c>
      <c r="G216" s="2" t="s">
        <v>1068</v>
      </c>
      <c r="H216" s="2" t="s">
        <v>45</v>
      </c>
      <c r="I216" s="2" t="s">
        <v>1093</v>
      </c>
    </row>
    <row r="217" customFormat="false" ht="15" hidden="false" customHeight="false" outlineLevel="0" collapsed="false">
      <c r="A217" s="2" t="s">
        <v>1297</v>
      </c>
      <c r="B217" s="2" t="s">
        <v>106</v>
      </c>
      <c r="C217" s="6" t="n">
        <v>45455</v>
      </c>
      <c r="D217" s="2" t="s">
        <v>39</v>
      </c>
      <c r="E217" s="2" t="s">
        <v>1080</v>
      </c>
      <c r="F217" s="2" t="s">
        <v>1067</v>
      </c>
      <c r="G217" s="2" t="s">
        <v>1068</v>
      </c>
      <c r="H217" s="2" t="s">
        <v>45</v>
      </c>
      <c r="I217" s="2" t="s">
        <v>1069</v>
      </c>
    </row>
    <row r="218" customFormat="false" ht="15" hidden="false" customHeight="false" outlineLevel="0" collapsed="false">
      <c r="A218" s="2" t="s">
        <v>1298</v>
      </c>
      <c r="B218" s="2" t="s">
        <v>775</v>
      </c>
      <c r="C218" s="6" t="n">
        <v>45456</v>
      </c>
      <c r="D218" s="2" t="s">
        <v>39</v>
      </c>
      <c r="E218" s="2" t="s">
        <v>1101</v>
      </c>
      <c r="F218" s="2" t="s">
        <v>1067</v>
      </c>
      <c r="G218" s="2" t="s">
        <v>1068</v>
      </c>
      <c r="H218" s="2" t="s">
        <v>57</v>
      </c>
      <c r="I218" s="2" t="s">
        <v>1069</v>
      </c>
    </row>
    <row r="219" customFormat="false" ht="15" hidden="false" customHeight="false" outlineLevel="0" collapsed="false">
      <c r="A219" s="2" t="s">
        <v>1299</v>
      </c>
      <c r="B219" s="2" t="s">
        <v>528</v>
      </c>
      <c r="C219" s="6" t="n">
        <v>45457</v>
      </c>
      <c r="D219" s="2" t="s">
        <v>39</v>
      </c>
      <c r="E219" s="2" t="s">
        <v>1101</v>
      </c>
      <c r="F219" s="2" t="s">
        <v>1067</v>
      </c>
      <c r="G219" s="2" t="s">
        <v>1085</v>
      </c>
      <c r="H219" s="2" t="s">
        <v>67</v>
      </c>
      <c r="I219" s="2" t="s">
        <v>1069</v>
      </c>
    </row>
    <row r="220" customFormat="false" ht="15" hidden="false" customHeight="false" outlineLevel="0" collapsed="false">
      <c r="A220" s="2" t="s">
        <v>1300</v>
      </c>
      <c r="B220" s="2" t="s">
        <v>248</v>
      </c>
      <c r="C220" s="6" t="n">
        <v>45460</v>
      </c>
      <c r="D220" s="2" t="s">
        <v>39</v>
      </c>
      <c r="E220" s="2" t="s">
        <v>1078</v>
      </c>
      <c r="F220" s="2" t="s">
        <v>1075</v>
      </c>
      <c r="G220" s="2" t="s">
        <v>1068</v>
      </c>
      <c r="H220" s="2" t="s">
        <v>37</v>
      </c>
      <c r="I220" s="2" t="s">
        <v>1069</v>
      </c>
    </row>
    <row r="221" customFormat="false" ht="15" hidden="false" customHeight="false" outlineLevel="0" collapsed="false">
      <c r="A221" s="2" t="s">
        <v>1301</v>
      </c>
      <c r="B221" s="2" t="s">
        <v>778</v>
      </c>
      <c r="C221" s="6" t="n">
        <v>45460</v>
      </c>
      <c r="D221" s="2" t="s">
        <v>39</v>
      </c>
      <c r="E221" s="2" t="s">
        <v>1066</v>
      </c>
      <c r="F221" s="2" t="s">
        <v>1067</v>
      </c>
      <c r="G221" s="2" t="s">
        <v>1068</v>
      </c>
      <c r="H221" s="2" t="s">
        <v>45</v>
      </c>
      <c r="I221" s="2" t="s">
        <v>1072</v>
      </c>
    </row>
    <row r="222" customFormat="false" ht="15" hidden="false" customHeight="false" outlineLevel="0" collapsed="false">
      <c r="A222" s="2" t="s">
        <v>1302</v>
      </c>
      <c r="B222" s="2" t="s">
        <v>618</v>
      </c>
      <c r="C222" s="6" t="n">
        <v>45461</v>
      </c>
      <c r="D222" s="2" t="s">
        <v>39</v>
      </c>
      <c r="E222" s="2" t="s">
        <v>1099</v>
      </c>
      <c r="F222" s="2" t="s">
        <v>1075</v>
      </c>
      <c r="G222" s="2" t="s">
        <v>1068</v>
      </c>
      <c r="H222" s="2" t="s">
        <v>37</v>
      </c>
      <c r="I222" s="2" t="s">
        <v>1072</v>
      </c>
    </row>
    <row r="223" customFormat="false" ht="15" hidden="false" customHeight="false" outlineLevel="0" collapsed="false">
      <c r="A223" s="2" t="s">
        <v>1303</v>
      </c>
      <c r="B223" s="2" t="s">
        <v>695</v>
      </c>
      <c r="C223" s="6" t="n">
        <v>45461</v>
      </c>
      <c r="D223" s="2" t="s">
        <v>39</v>
      </c>
      <c r="E223" s="2" t="s">
        <v>1114</v>
      </c>
      <c r="F223" s="2" t="s">
        <v>1075</v>
      </c>
      <c r="G223" s="2" t="s">
        <v>1068</v>
      </c>
      <c r="H223" s="2" t="s">
        <v>45</v>
      </c>
      <c r="I223" s="2" t="s">
        <v>1069</v>
      </c>
    </row>
    <row r="224" customFormat="false" ht="15" hidden="false" customHeight="false" outlineLevel="0" collapsed="false">
      <c r="A224" s="2" t="s">
        <v>1304</v>
      </c>
      <c r="B224" s="2" t="s">
        <v>784</v>
      </c>
      <c r="C224" s="6" t="n">
        <v>45462</v>
      </c>
      <c r="D224" s="2" t="s">
        <v>39</v>
      </c>
      <c r="E224" s="2" t="s">
        <v>1071</v>
      </c>
      <c r="F224" s="2" t="s">
        <v>1067</v>
      </c>
      <c r="G224" s="2" t="s">
        <v>1068</v>
      </c>
      <c r="H224" s="2" t="s">
        <v>37</v>
      </c>
      <c r="I224" s="2" t="s">
        <v>1069</v>
      </c>
    </row>
    <row r="225" customFormat="false" ht="15" hidden="false" customHeight="false" outlineLevel="0" collapsed="false">
      <c r="A225" s="2" t="s">
        <v>1305</v>
      </c>
      <c r="B225" s="2" t="s">
        <v>302</v>
      </c>
      <c r="C225" s="6" t="n">
        <v>45464</v>
      </c>
      <c r="D225" s="2" t="s">
        <v>39</v>
      </c>
      <c r="E225" s="2" t="s">
        <v>1101</v>
      </c>
      <c r="F225" s="2" t="s">
        <v>1067</v>
      </c>
      <c r="G225" s="2" t="s">
        <v>1068</v>
      </c>
      <c r="H225" s="2" t="s">
        <v>37</v>
      </c>
      <c r="I225" s="2" t="s">
        <v>1069</v>
      </c>
    </row>
    <row r="226" customFormat="false" ht="15" hidden="false" customHeight="false" outlineLevel="0" collapsed="false">
      <c r="A226" s="2" t="s">
        <v>1306</v>
      </c>
      <c r="B226" s="2" t="s">
        <v>682</v>
      </c>
      <c r="C226" s="6" t="n">
        <v>45464</v>
      </c>
      <c r="D226" s="2" t="s">
        <v>39</v>
      </c>
      <c r="E226" s="2" t="s">
        <v>1071</v>
      </c>
      <c r="F226" s="2" t="s">
        <v>1067</v>
      </c>
      <c r="G226" s="2" t="s">
        <v>1085</v>
      </c>
      <c r="H226" s="2" t="s">
        <v>67</v>
      </c>
      <c r="I226" s="2" t="s">
        <v>1069</v>
      </c>
    </row>
    <row r="227" customFormat="false" ht="15" hidden="false" customHeight="false" outlineLevel="0" collapsed="false">
      <c r="A227" s="2" t="s">
        <v>1307</v>
      </c>
      <c r="B227" s="2" t="s">
        <v>29</v>
      </c>
      <c r="C227" s="6" t="n">
        <v>45467</v>
      </c>
      <c r="D227" s="2" t="s">
        <v>39</v>
      </c>
      <c r="E227" s="2" t="s">
        <v>1095</v>
      </c>
      <c r="F227" s="2" t="s">
        <v>1075</v>
      </c>
      <c r="G227" s="2" t="s">
        <v>1068</v>
      </c>
      <c r="H227" s="2" t="s">
        <v>45</v>
      </c>
      <c r="I227" s="2" t="s">
        <v>1072</v>
      </c>
    </row>
    <row r="228" customFormat="false" ht="15" hidden="false" customHeight="false" outlineLevel="0" collapsed="false">
      <c r="A228" s="2" t="s">
        <v>1308</v>
      </c>
      <c r="B228" s="2" t="s">
        <v>258</v>
      </c>
      <c r="C228" s="6" t="n">
        <v>45468</v>
      </c>
      <c r="D228" s="2" t="s">
        <v>39</v>
      </c>
      <c r="E228" s="2" t="s">
        <v>1114</v>
      </c>
      <c r="F228" s="2" t="s">
        <v>1075</v>
      </c>
      <c r="G228" s="2" t="s">
        <v>1068</v>
      </c>
      <c r="H228" s="2" t="s">
        <v>57</v>
      </c>
      <c r="I228" s="2" t="s">
        <v>1072</v>
      </c>
    </row>
    <row r="229" customFormat="false" ht="15" hidden="false" customHeight="false" outlineLevel="0" collapsed="false">
      <c r="A229" s="2" t="s">
        <v>1309</v>
      </c>
      <c r="B229" s="2" t="s">
        <v>805</v>
      </c>
      <c r="C229" s="6" t="n">
        <v>45468</v>
      </c>
      <c r="D229" s="2" t="s">
        <v>39</v>
      </c>
      <c r="E229" s="2" t="s">
        <v>1078</v>
      </c>
      <c r="F229" s="2" t="s">
        <v>1075</v>
      </c>
      <c r="G229" s="2" t="s">
        <v>1068</v>
      </c>
      <c r="H229" s="2" t="s">
        <v>37</v>
      </c>
      <c r="I229" s="2" t="s">
        <v>1069</v>
      </c>
    </row>
    <row r="230" customFormat="false" ht="15" hidden="false" customHeight="false" outlineLevel="0" collapsed="false">
      <c r="A230" s="2" t="s">
        <v>1310</v>
      </c>
      <c r="B230" s="2" t="s">
        <v>714</v>
      </c>
      <c r="C230" s="6" t="n">
        <v>45469</v>
      </c>
      <c r="D230" s="2" t="s">
        <v>39</v>
      </c>
      <c r="E230" s="2" t="s">
        <v>1090</v>
      </c>
      <c r="F230" s="2" t="s">
        <v>1067</v>
      </c>
      <c r="G230" s="2" t="s">
        <v>1068</v>
      </c>
      <c r="H230" s="2" t="s">
        <v>45</v>
      </c>
      <c r="I230" s="2" t="s">
        <v>1069</v>
      </c>
    </row>
    <row r="231" customFormat="false" ht="15" hidden="false" customHeight="false" outlineLevel="0" collapsed="false">
      <c r="A231" s="2" t="s">
        <v>1311</v>
      </c>
      <c r="B231" s="2" t="s">
        <v>826</v>
      </c>
      <c r="C231" s="6" t="n">
        <v>45475</v>
      </c>
      <c r="D231" s="2" t="s">
        <v>39</v>
      </c>
      <c r="E231" s="2" t="s">
        <v>1101</v>
      </c>
      <c r="F231" s="2" t="s">
        <v>1067</v>
      </c>
      <c r="G231" s="2" t="s">
        <v>1085</v>
      </c>
      <c r="H231" s="2" t="s">
        <v>67</v>
      </c>
      <c r="I231" s="2" t="s">
        <v>1072</v>
      </c>
    </row>
    <row r="232" customFormat="false" ht="15" hidden="false" customHeight="false" outlineLevel="0" collapsed="false">
      <c r="A232" s="2" t="s">
        <v>1312</v>
      </c>
      <c r="B232" s="2" t="s">
        <v>254</v>
      </c>
      <c r="C232" s="6" t="n">
        <v>45478</v>
      </c>
      <c r="D232" s="2" t="s">
        <v>39</v>
      </c>
      <c r="E232" s="2" t="s">
        <v>1101</v>
      </c>
      <c r="F232" s="2" t="s">
        <v>1067</v>
      </c>
      <c r="G232" s="2" t="s">
        <v>1068</v>
      </c>
      <c r="H232" s="2" t="s">
        <v>45</v>
      </c>
      <c r="I232" s="2" t="s">
        <v>1069</v>
      </c>
    </row>
    <row r="233" customFormat="false" ht="15" hidden="false" customHeight="false" outlineLevel="0" collapsed="false">
      <c r="A233" s="2" t="s">
        <v>1313</v>
      </c>
      <c r="B233" s="2" t="s">
        <v>88</v>
      </c>
      <c r="C233" s="6" t="n">
        <v>45483</v>
      </c>
      <c r="D233" s="2" t="s">
        <v>39</v>
      </c>
      <c r="E233" s="2" t="s">
        <v>1078</v>
      </c>
      <c r="F233" s="2" t="s">
        <v>1075</v>
      </c>
      <c r="G233" s="2" t="s">
        <v>1068</v>
      </c>
      <c r="H233" s="2" t="s">
        <v>37</v>
      </c>
      <c r="I233" s="2" t="s">
        <v>1072</v>
      </c>
    </row>
    <row r="234" customFormat="false" ht="15" hidden="false" customHeight="false" outlineLevel="0" collapsed="false">
      <c r="A234" s="2" t="s">
        <v>1314</v>
      </c>
      <c r="B234" s="2" t="s">
        <v>841</v>
      </c>
      <c r="C234" s="6" t="n">
        <v>45483</v>
      </c>
      <c r="D234" s="2" t="s">
        <v>39</v>
      </c>
      <c r="E234" s="2" t="s">
        <v>1090</v>
      </c>
      <c r="F234" s="2" t="s">
        <v>1067</v>
      </c>
      <c r="G234" s="2" t="s">
        <v>1068</v>
      </c>
      <c r="H234" s="2" t="s">
        <v>57</v>
      </c>
      <c r="I234" s="2" t="s">
        <v>1069</v>
      </c>
    </row>
    <row r="235" customFormat="false" ht="15" hidden="false" customHeight="false" outlineLevel="0" collapsed="false">
      <c r="A235" s="2" t="s">
        <v>1315</v>
      </c>
      <c r="B235" s="2" t="s">
        <v>722</v>
      </c>
      <c r="C235" s="6" t="n">
        <v>45484</v>
      </c>
      <c r="D235" s="2" t="s">
        <v>39</v>
      </c>
      <c r="E235" s="2" t="s">
        <v>1074</v>
      </c>
      <c r="F235" s="2" t="s">
        <v>1075</v>
      </c>
      <c r="G235" s="2" t="s">
        <v>1068</v>
      </c>
      <c r="H235" s="2" t="s">
        <v>57</v>
      </c>
      <c r="I235" s="2" t="s">
        <v>1069</v>
      </c>
    </row>
    <row r="236" customFormat="false" ht="15" hidden="false" customHeight="false" outlineLevel="0" collapsed="false">
      <c r="A236" s="2" t="s">
        <v>1316</v>
      </c>
      <c r="B236" s="2" t="s">
        <v>835</v>
      </c>
      <c r="C236" s="6" t="n">
        <v>45484</v>
      </c>
      <c r="D236" s="2" t="s">
        <v>39</v>
      </c>
      <c r="E236" s="2" t="s">
        <v>1090</v>
      </c>
      <c r="F236" s="2" t="s">
        <v>1067</v>
      </c>
      <c r="G236" s="2" t="s">
        <v>1068</v>
      </c>
      <c r="H236" s="2" t="s">
        <v>45</v>
      </c>
      <c r="I236" s="2" t="s">
        <v>1072</v>
      </c>
    </row>
    <row r="237" customFormat="false" ht="15" hidden="false" customHeight="false" outlineLevel="0" collapsed="false">
      <c r="A237" s="2" t="s">
        <v>1317</v>
      </c>
      <c r="B237" s="2" t="s">
        <v>501</v>
      </c>
      <c r="C237" s="6" t="n">
        <v>45488</v>
      </c>
      <c r="D237" s="2" t="s">
        <v>39</v>
      </c>
      <c r="E237" s="2" t="s">
        <v>1095</v>
      </c>
      <c r="F237" s="2" t="s">
        <v>1075</v>
      </c>
      <c r="G237" s="2" t="s">
        <v>1068</v>
      </c>
      <c r="H237" s="2" t="s">
        <v>45</v>
      </c>
      <c r="I237" s="2" t="s">
        <v>1069</v>
      </c>
    </row>
    <row r="238" customFormat="false" ht="15" hidden="false" customHeight="false" outlineLevel="0" collapsed="false">
      <c r="A238" s="2" t="s">
        <v>1318</v>
      </c>
      <c r="B238" s="2" t="s">
        <v>629</v>
      </c>
      <c r="C238" s="6" t="n">
        <v>45489</v>
      </c>
      <c r="D238" s="2" t="s">
        <v>39</v>
      </c>
      <c r="E238" s="2" t="s">
        <v>1095</v>
      </c>
      <c r="F238" s="2" t="s">
        <v>1075</v>
      </c>
      <c r="G238" s="2" t="s">
        <v>1068</v>
      </c>
      <c r="H238" s="2" t="s">
        <v>37</v>
      </c>
      <c r="I238" s="2" t="s">
        <v>1069</v>
      </c>
    </row>
    <row r="239" customFormat="false" ht="15" hidden="false" customHeight="false" outlineLevel="0" collapsed="false">
      <c r="A239" s="2" t="s">
        <v>1319</v>
      </c>
      <c r="B239" s="2" t="s">
        <v>417</v>
      </c>
      <c r="C239" s="6" t="n">
        <v>45490</v>
      </c>
      <c r="D239" s="2" t="s">
        <v>39</v>
      </c>
      <c r="E239" s="2" t="s">
        <v>1101</v>
      </c>
      <c r="F239" s="2" t="s">
        <v>1067</v>
      </c>
      <c r="G239" s="2" t="s">
        <v>1068</v>
      </c>
      <c r="H239" s="2" t="s">
        <v>45</v>
      </c>
      <c r="I239" s="2" t="s">
        <v>1069</v>
      </c>
    </row>
    <row r="240" customFormat="false" ht="15" hidden="false" customHeight="false" outlineLevel="0" collapsed="false">
      <c r="A240" s="2" t="s">
        <v>1320</v>
      </c>
      <c r="B240" s="2" t="s">
        <v>248</v>
      </c>
      <c r="C240" s="6" t="n">
        <v>45495</v>
      </c>
      <c r="D240" s="2" t="s">
        <v>39</v>
      </c>
      <c r="E240" s="2" t="s">
        <v>1071</v>
      </c>
      <c r="F240" s="2" t="s">
        <v>1067</v>
      </c>
      <c r="G240" s="2" t="s">
        <v>1068</v>
      </c>
      <c r="H240" s="2" t="s">
        <v>37</v>
      </c>
      <c r="I240" s="2" t="s">
        <v>1093</v>
      </c>
    </row>
    <row r="241" customFormat="false" ht="15" hidden="false" customHeight="false" outlineLevel="0" collapsed="false">
      <c r="A241" s="2" t="s">
        <v>1321</v>
      </c>
      <c r="B241" s="2" t="s">
        <v>190</v>
      </c>
      <c r="C241" s="6" t="n">
        <v>45496</v>
      </c>
      <c r="D241" s="2" t="s">
        <v>39</v>
      </c>
      <c r="E241" s="2" t="s">
        <v>1071</v>
      </c>
      <c r="F241" s="2" t="s">
        <v>1067</v>
      </c>
      <c r="G241" s="2" t="s">
        <v>1085</v>
      </c>
      <c r="H241" s="2" t="s">
        <v>67</v>
      </c>
      <c r="I241" s="2" t="s">
        <v>1069</v>
      </c>
    </row>
    <row r="242" customFormat="false" ht="15" hidden="false" customHeight="false" outlineLevel="0" collapsed="false">
      <c r="A242" s="2" t="s">
        <v>1322</v>
      </c>
      <c r="B242" s="2" t="s">
        <v>308</v>
      </c>
      <c r="C242" s="6" t="n">
        <v>45496</v>
      </c>
      <c r="D242" s="2" t="s">
        <v>39</v>
      </c>
      <c r="E242" s="2" t="s">
        <v>1114</v>
      </c>
      <c r="F242" s="2" t="s">
        <v>1075</v>
      </c>
      <c r="G242" s="2" t="s">
        <v>1068</v>
      </c>
      <c r="H242" s="2" t="s">
        <v>37</v>
      </c>
      <c r="I242" s="2" t="s">
        <v>1072</v>
      </c>
    </row>
    <row r="243" customFormat="false" ht="15" hidden="false" customHeight="false" outlineLevel="0" collapsed="false">
      <c r="A243" s="2" t="s">
        <v>1323</v>
      </c>
      <c r="B243" s="2" t="s">
        <v>281</v>
      </c>
      <c r="C243" s="6" t="n">
        <v>45497</v>
      </c>
      <c r="D243" s="2" t="s">
        <v>39</v>
      </c>
      <c r="E243" s="2" t="s">
        <v>1071</v>
      </c>
      <c r="F243" s="2" t="s">
        <v>1067</v>
      </c>
      <c r="G243" s="2" t="s">
        <v>1068</v>
      </c>
      <c r="H243" s="2" t="s">
        <v>45</v>
      </c>
      <c r="I243" s="2" t="s">
        <v>1072</v>
      </c>
    </row>
    <row r="244" customFormat="false" ht="15" hidden="false" customHeight="false" outlineLevel="0" collapsed="false">
      <c r="A244" s="2" t="s">
        <v>1324</v>
      </c>
      <c r="B244" s="2" t="s">
        <v>336</v>
      </c>
      <c r="C244" s="6" t="n">
        <v>45497</v>
      </c>
      <c r="D244" s="2" t="s">
        <v>39</v>
      </c>
      <c r="E244" s="2" t="s">
        <v>1099</v>
      </c>
      <c r="F244" s="2" t="s">
        <v>1075</v>
      </c>
      <c r="G244" s="2" t="s">
        <v>1068</v>
      </c>
      <c r="H244" s="2" t="s">
        <v>45</v>
      </c>
      <c r="I244" s="2" t="s">
        <v>1069</v>
      </c>
    </row>
    <row r="245" customFormat="false" ht="15" hidden="false" customHeight="false" outlineLevel="0" collapsed="false">
      <c r="A245" s="2" t="s">
        <v>1325</v>
      </c>
      <c r="B245" s="2" t="s">
        <v>695</v>
      </c>
      <c r="C245" s="6" t="n">
        <v>45497</v>
      </c>
      <c r="D245" s="2" t="s">
        <v>39</v>
      </c>
      <c r="E245" s="2" t="s">
        <v>1095</v>
      </c>
      <c r="F245" s="2" t="s">
        <v>1075</v>
      </c>
      <c r="G245" s="2" t="s">
        <v>1068</v>
      </c>
      <c r="H245" s="2" t="s">
        <v>45</v>
      </c>
      <c r="I245" s="2" t="s">
        <v>1069</v>
      </c>
    </row>
    <row r="246" customFormat="false" ht="15" hidden="false" customHeight="false" outlineLevel="0" collapsed="false">
      <c r="A246" s="2" t="s">
        <v>1326</v>
      </c>
      <c r="B246" s="2" t="s">
        <v>853</v>
      </c>
      <c r="C246" s="6" t="n">
        <v>45498</v>
      </c>
      <c r="D246" s="2" t="s">
        <v>39</v>
      </c>
      <c r="E246" s="2" t="s">
        <v>1101</v>
      </c>
      <c r="F246" s="2" t="s">
        <v>1067</v>
      </c>
      <c r="G246" s="2" t="s">
        <v>1085</v>
      </c>
      <c r="H246" s="2" t="s">
        <v>67</v>
      </c>
      <c r="I246" s="2" t="s">
        <v>1069</v>
      </c>
    </row>
    <row r="247" customFormat="false" ht="15" hidden="false" customHeight="false" outlineLevel="0" collapsed="false">
      <c r="A247" s="2" t="s">
        <v>1327</v>
      </c>
      <c r="B247" s="2" t="s">
        <v>621</v>
      </c>
      <c r="C247" s="6" t="n">
        <v>45503</v>
      </c>
      <c r="D247" s="2" t="s">
        <v>39</v>
      </c>
      <c r="E247" s="2" t="s">
        <v>1078</v>
      </c>
      <c r="F247" s="2" t="s">
        <v>1075</v>
      </c>
      <c r="G247" s="2" t="s">
        <v>1068</v>
      </c>
      <c r="H247" s="2" t="s">
        <v>45</v>
      </c>
      <c r="I247" s="2" t="s">
        <v>1072</v>
      </c>
    </row>
    <row r="248" customFormat="false" ht="15" hidden="false" customHeight="false" outlineLevel="0" collapsed="false">
      <c r="A248" s="2" t="s">
        <v>1328</v>
      </c>
      <c r="B248" s="2" t="s">
        <v>675</v>
      </c>
      <c r="C248" s="6" t="n">
        <v>45504</v>
      </c>
      <c r="D248" s="2" t="s">
        <v>39</v>
      </c>
      <c r="E248" s="2" t="s">
        <v>1101</v>
      </c>
      <c r="F248" s="2" t="s">
        <v>1067</v>
      </c>
      <c r="G248" s="2" t="s">
        <v>1085</v>
      </c>
      <c r="H248" s="2" t="s">
        <v>67</v>
      </c>
      <c r="I248" s="2" t="s">
        <v>1072</v>
      </c>
    </row>
    <row r="249" customFormat="false" ht="15" hidden="false" customHeight="false" outlineLevel="0" collapsed="false">
      <c r="A249" s="2" t="s">
        <v>1329</v>
      </c>
      <c r="B249" s="2" t="s">
        <v>201</v>
      </c>
      <c r="C249" s="6" t="n">
        <v>45505</v>
      </c>
      <c r="D249" s="2" t="s">
        <v>39</v>
      </c>
      <c r="E249" s="2" t="s">
        <v>1080</v>
      </c>
      <c r="F249" s="2" t="s">
        <v>1067</v>
      </c>
      <c r="G249" s="2" t="s">
        <v>1068</v>
      </c>
      <c r="H249" s="2" t="s">
        <v>45</v>
      </c>
      <c r="I249" s="2" t="s">
        <v>1072</v>
      </c>
    </row>
    <row r="250" customFormat="false" ht="15" hidden="false" customHeight="false" outlineLevel="0" collapsed="false">
      <c r="A250" s="2" t="s">
        <v>1330</v>
      </c>
      <c r="B250" s="2" t="s">
        <v>602</v>
      </c>
      <c r="C250" s="6" t="n">
        <v>45505</v>
      </c>
      <c r="D250" s="2" t="s">
        <v>39</v>
      </c>
      <c r="E250" s="2" t="s">
        <v>1080</v>
      </c>
      <c r="F250" s="2" t="s">
        <v>1067</v>
      </c>
      <c r="G250" s="2" t="s">
        <v>1068</v>
      </c>
      <c r="H250" s="2" t="s">
        <v>45</v>
      </c>
      <c r="I250" s="2" t="s">
        <v>1072</v>
      </c>
    </row>
    <row r="251" customFormat="false" ht="15" hidden="false" customHeight="false" outlineLevel="0" collapsed="false">
      <c r="A251" s="2" t="s">
        <v>1331</v>
      </c>
      <c r="B251" s="2" t="s">
        <v>258</v>
      </c>
      <c r="C251" s="6" t="n">
        <v>45506</v>
      </c>
      <c r="D251" s="2" t="s">
        <v>39</v>
      </c>
      <c r="E251" s="2" t="s">
        <v>1066</v>
      </c>
      <c r="F251" s="2" t="s">
        <v>1067</v>
      </c>
      <c r="G251" s="2" t="s">
        <v>1085</v>
      </c>
      <c r="H251" s="2" t="s">
        <v>67</v>
      </c>
      <c r="I251" s="2" t="s">
        <v>1072</v>
      </c>
    </row>
    <row r="252" customFormat="false" ht="15" hidden="false" customHeight="false" outlineLevel="0" collapsed="false">
      <c r="A252" s="2" t="s">
        <v>1332</v>
      </c>
      <c r="B252" s="2" t="s">
        <v>667</v>
      </c>
      <c r="C252" s="6" t="n">
        <v>45506</v>
      </c>
      <c r="D252" s="2" t="s">
        <v>39</v>
      </c>
      <c r="E252" s="2" t="s">
        <v>1074</v>
      </c>
      <c r="F252" s="2" t="s">
        <v>1075</v>
      </c>
      <c r="G252" s="2" t="s">
        <v>1068</v>
      </c>
      <c r="H252" s="2" t="s">
        <v>57</v>
      </c>
      <c r="I252" s="2" t="s">
        <v>1093</v>
      </c>
    </row>
    <row r="253" customFormat="false" ht="15" hidden="false" customHeight="false" outlineLevel="0" collapsed="false">
      <c r="A253" s="2" t="s">
        <v>1333</v>
      </c>
      <c r="B253" s="2" t="s">
        <v>799</v>
      </c>
      <c r="C253" s="6" t="n">
        <v>45506</v>
      </c>
      <c r="D253" s="2" t="s">
        <v>39</v>
      </c>
      <c r="E253" s="2" t="s">
        <v>1066</v>
      </c>
      <c r="F253" s="2" t="s">
        <v>1067</v>
      </c>
      <c r="G253" s="2" t="s">
        <v>1068</v>
      </c>
      <c r="H253" s="2" t="s">
        <v>45</v>
      </c>
      <c r="I253" s="2" t="s">
        <v>1093</v>
      </c>
    </row>
    <row r="254" customFormat="false" ht="15" hidden="false" customHeight="false" outlineLevel="0" collapsed="false">
      <c r="A254" s="2" t="s">
        <v>1334</v>
      </c>
      <c r="B254" s="2" t="s">
        <v>917</v>
      </c>
      <c r="C254" s="6" t="n">
        <v>45509</v>
      </c>
      <c r="D254" s="2" t="s">
        <v>39</v>
      </c>
      <c r="E254" s="2" t="s">
        <v>1101</v>
      </c>
      <c r="F254" s="2" t="s">
        <v>1067</v>
      </c>
      <c r="G254" s="2" t="s">
        <v>1068</v>
      </c>
      <c r="H254" s="2" t="s">
        <v>45</v>
      </c>
      <c r="I254" s="2" t="s">
        <v>1072</v>
      </c>
    </row>
    <row r="255" customFormat="false" ht="15" hidden="false" customHeight="false" outlineLevel="0" collapsed="false">
      <c r="A255" s="2" t="s">
        <v>1335</v>
      </c>
      <c r="B255" s="2" t="s">
        <v>294</v>
      </c>
      <c r="C255" s="6" t="n">
        <v>45512</v>
      </c>
      <c r="D255" s="2" t="s">
        <v>39</v>
      </c>
      <c r="E255" s="2" t="s">
        <v>1080</v>
      </c>
      <c r="F255" s="2" t="s">
        <v>1067</v>
      </c>
      <c r="G255" s="2" t="s">
        <v>1085</v>
      </c>
      <c r="H255" s="2" t="s">
        <v>67</v>
      </c>
      <c r="I255" s="2" t="s">
        <v>1072</v>
      </c>
    </row>
    <row r="256" customFormat="false" ht="15" hidden="false" customHeight="false" outlineLevel="0" collapsed="false">
      <c r="A256" s="2" t="s">
        <v>1336</v>
      </c>
      <c r="B256" s="2" t="s">
        <v>463</v>
      </c>
      <c r="C256" s="6" t="n">
        <v>45513</v>
      </c>
      <c r="D256" s="2" t="s">
        <v>39</v>
      </c>
      <c r="E256" s="2" t="s">
        <v>1074</v>
      </c>
      <c r="F256" s="2" t="s">
        <v>1075</v>
      </c>
      <c r="G256" s="2" t="s">
        <v>1068</v>
      </c>
      <c r="H256" s="2" t="s">
        <v>45</v>
      </c>
      <c r="I256" s="2" t="s">
        <v>1093</v>
      </c>
    </row>
    <row r="257" customFormat="false" ht="15" hidden="false" customHeight="false" outlineLevel="0" collapsed="false">
      <c r="A257" s="2" t="s">
        <v>1337</v>
      </c>
      <c r="B257" s="2" t="s">
        <v>647</v>
      </c>
      <c r="C257" s="6" t="n">
        <v>45513</v>
      </c>
      <c r="D257" s="2" t="s">
        <v>39</v>
      </c>
      <c r="E257" s="2" t="s">
        <v>1099</v>
      </c>
      <c r="F257" s="2" t="s">
        <v>1075</v>
      </c>
      <c r="G257" s="2" t="s">
        <v>1068</v>
      </c>
      <c r="H257" s="2" t="s">
        <v>45</v>
      </c>
      <c r="I257" s="2" t="s">
        <v>1072</v>
      </c>
    </row>
    <row r="258" customFormat="false" ht="15" hidden="false" customHeight="false" outlineLevel="0" collapsed="false">
      <c r="A258" s="2" t="s">
        <v>1338</v>
      </c>
      <c r="B258" s="2" t="s">
        <v>745</v>
      </c>
      <c r="C258" s="6" t="n">
        <v>45513</v>
      </c>
      <c r="D258" s="2" t="s">
        <v>39</v>
      </c>
      <c r="E258" s="2" t="s">
        <v>1066</v>
      </c>
      <c r="F258" s="2" t="s">
        <v>1067</v>
      </c>
      <c r="G258" s="2" t="s">
        <v>1068</v>
      </c>
      <c r="H258" s="2" t="s">
        <v>37</v>
      </c>
      <c r="I258" s="2" t="s">
        <v>1069</v>
      </c>
    </row>
    <row r="259" customFormat="false" ht="15" hidden="false" customHeight="false" outlineLevel="0" collapsed="false">
      <c r="A259" s="2" t="s">
        <v>1339</v>
      </c>
      <c r="B259" s="2" t="s">
        <v>873</v>
      </c>
      <c r="C259" s="6" t="n">
        <v>45516</v>
      </c>
      <c r="D259" s="2" t="s">
        <v>39</v>
      </c>
      <c r="E259" s="2" t="s">
        <v>1080</v>
      </c>
      <c r="F259" s="2" t="s">
        <v>1067</v>
      </c>
      <c r="G259" s="2" t="s">
        <v>1068</v>
      </c>
      <c r="H259" s="2" t="s">
        <v>37</v>
      </c>
      <c r="I259" s="2" t="s">
        <v>1069</v>
      </c>
    </row>
    <row r="260" customFormat="false" ht="15" hidden="false" customHeight="false" outlineLevel="0" collapsed="false">
      <c r="A260" s="2" t="s">
        <v>1340</v>
      </c>
      <c r="B260" s="2" t="s">
        <v>937</v>
      </c>
      <c r="C260" s="6" t="n">
        <v>45517</v>
      </c>
      <c r="D260" s="2" t="s">
        <v>39</v>
      </c>
      <c r="E260" s="2" t="s">
        <v>1101</v>
      </c>
      <c r="F260" s="2" t="s">
        <v>1067</v>
      </c>
      <c r="G260" s="2" t="s">
        <v>1085</v>
      </c>
      <c r="H260" s="2" t="s">
        <v>67</v>
      </c>
      <c r="I260" s="2" t="s">
        <v>1069</v>
      </c>
    </row>
    <row r="261" customFormat="false" ht="15" hidden="false" customHeight="false" outlineLevel="0" collapsed="false">
      <c r="A261" s="2" t="s">
        <v>1341</v>
      </c>
      <c r="B261" s="2" t="s">
        <v>314</v>
      </c>
      <c r="C261" s="6" t="n">
        <v>45518</v>
      </c>
      <c r="D261" s="2" t="s">
        <v>39</v>
      </c>
      <c r="E261" s="2" t="s">
        <v>1114</v>
      </c>
      <c r="F261" s="2" t="s">
        <v>1075</v>
      </c>
      <c r="G261" s="2" t="s">
        <v>1068</v>
      </c>
      <c r="H261" s="2" t="s">
        <v>37</v>
      </c>
      <c r="I261" s="2" t="s">
        <v>1072</v>
      </c>
    </row>
    <row r="262" customFormat="false" ht="15" hidden="false" customHeight="false" outlineLevel="0" collapsed="false">
      <c r="A262" s="2" t="s">
        <v>1342</v>
      </c>
      <c r="B262" s="2" t="s">
        <v>799</v>
      </c>
      <c r="C262" s="6" t="n">
        <v>45518</v>
      </c>
      <c r="D262" s="2" t="s">
        <v>39</v>
      </c>
      <c r="E262" s="2" t="s">
        <v>1080</v>
      </c>
      <c r="F262" s="2" t="s">
        <v>1067</v>
      </c>
      <c r="G262" s="2" t="s">
        <v>1085</v>
      </c>
      <c r="H262" s="2" t="s">
        <v>67</v>
      </c>
      <c r="I262" s="2" t="s">
        <v>1072</v>
      </c>
    </row>
    <row r="263" customFormat="false" ht="15" hidden="false" customHeight="false" outlineLevel="0" collapsed="false">
      <c r="A263" s="2" t="s">
        <v>1343</v>
      </c>
      <c r="B263" s="2" t="s">
        <v>127</v>
      </c>
      <c r="C263" s="6" t="n">
        <v>45519</v>
      </c>
      <c r="D263" s="2" t="s">
        <v>39</v>
      </c>
      <c r="E263" s="2" t="s">
        <v>1090</v>
      </c>
      <c r="F263" s="2" t="s">
        <v>1067</v>
      </c>
      <c r="G263" s="2" t="s">
        <v>1068</v>
      </c>
      <c r="H263" s="2" t="s">
        <v>45</v>
      </c>
      <c r="I263" s="2" t="s">
        <v>1069</v>
      </c>
    </row>
    <row r="264" customFormat="false" ht="15" hidden="false" customHeight="false" outlineLevel="0" collapsed="false">
      <c r="A264" s="2" t="s">
        <v>1344</v>
      </c>
      <c r="B264" s="2" t="s">
        <v>671</v>
      </c>
      <c r="C264" s="6" t="n">
        <v>45519</v>
      </c>
      <c r="D264" s="2" t="s">
        <v>39</v>
      </c>
      <c r="E264" s="2" t="s">
        <v>1101</v>
      </c>
      <c r="F264" s="2" t="s">
        <v>1067</v>
      </c>
      <c r="G264" s="2" t="s">
        <v>1068</v>
      </c>
      <c r="H264" s="2" t="s">
        <v>45</v>
      </c>
      <c r="I264" s="2" t="s">
        <v>1072</v>
      </c>
    </row>
    <row r="265" customFormat="false" ht="15" hidden="false" customHeight="false" outlineLevel="0" collapsed="false">
      <c r="A265" s="2" t="s">
        <v>1345</v>
      </c>
      <c r="B265" s="2" t="s">
        <v>766</v>
      </c>
      <c r="C265" s="6" t="n">
        <v>45519</v>
      </c>
      <c r="D265" s="2" t="s">
        <v>39</v>
      </c>
      <c r="E265" s="2" t="s">
        <v>1090</v>
      </c>
      <c r="F265" s="2" t="s">
        <v>1067</v>
      </c>
      <c r="G265" s="2" t="s">
        <v>1068</v>
      </c>
      <c r="H265" s="2" t="s">
        <v>37</v>
      </c>
      <c r="I265" s="2" t="s">
        <v>1093</v>
      </c>
    </row>
    <row r="266" customFormat="false" ht="15" hidden="false" customHeight="false" outlineLevel="0" collapsed="false">
      <c r="A266" s="2" t="s">
        <v>1346</v>
      </c>
      <c r="B266" s="2" t="s">
        <v>778</v>
      </c>
      <c r="C266" s="6" t="n">
        <v>45524</v>
      </c>
      <c r="D266" s="2" t="s">
        <v>39</v>
      </c>
      <c r="E266" s="2" t="s">
        <v>1078</v>
      </c>
      <c r="F266" s="2" t="s">
        <v>1075</v>
      </c>
      <c r="G266" s="2" t="s">
        <v>1068</v>
      </c>
      <c r="H266" s="2" t="s">
        <v>45</v>
      </c>
      <c r="I266" s="2" t="s">
        <v>1093</v>
      </c>
    </row>
    <row r="267" customFormat="false" ht="15" hidden="false" customHeight="false" outlineLevel="0" collapsed="false">
      <c r="A267" s="2" t="s">
        <v>1347</v>
      </c>
      <c r="B267" s="2" t="s">
        <v>850</v>
      </c>
      <c r="C267" s="6" t="n">
        <v>45524</v>
      </c>
      <c r="D267" s="2" t="s">
        <v>39</v>
      </c>
      <c r="E267" s="2" t="s">
        <v>1066</v>
      </c>
      <c r="F267" s="2" t="s">
        <v>1067</v>
      </c>
      <c r="G267" s="2" t="s">
        <v>1068</v>
      </c>
      <c r="H267" s="2" t="s">
        <v>37</v>
      </c>
      <c r="I267" s="2" t="s">
        <v>1069</v>
      </c>
    </row>
    <row r="268" customFormat="false" ht="15" hidden="false" customHeight="false" outlineLevel="0" collapsed="false">
      <c r="A268" s="2" t="s">
        <v>1348</v>
      </c>
      <c r="B268" s="2" t="s">
        <v>864</v>
      </c>
      <c r="C268" s="6" t="n">
        <v>45524</v>
      </c>
      <c r="D268" s="2" t="s">
        <v>39</v>
      </c>
      <c r="E268" s="2" t="s">
        <v>1078</v>
      </c>
      <c r="F268" s="2" t="s">
        <v>1075</v>
      </c>
      <c r="G268" s="2" t="s">
        <v>1068</v>
      </c>
      <c r="H268" s="2" t="s">
        <v>57</v>
      </c>
      <c r="I268" s="2" t="s">
        <v>1072</v>
      </c>
    </row>
    <row r="269" customFormat="false" ht="15" hidden="false" customHeight="false" outlineLevel="0" collapsed="false">
      <c r="A269" s="2" t="s">
        <v>1349</v>
      </c>
      <c r="B269" s="2" t="s">
        <v>850</v>
      </c>
      <c r="C269" s="6" t="n">
        <v>45526</v>
      </c>
      <c r="D269" s="2" t="s">
        <v>39</v>
      </c>
      <c r="E269" s="2" t="s">
        <v>1080</v>
      </c>
      <c r="F269" s="2" t="s">
        <v>1067</v>
      </c>
      <c r="G269" s="2" t="s">
        <v>1068</v>
      </c>
      <c r="H269" s="2" t="s">
        <v>57</v>
      </c>
      <c r="I269" s="2" t="s">
        <v>1072</v>
      </c>
    </row>
    <row r="270" customFormat="false" ht="15" hidden="false" customHeight="false" outlineLevel="0" collapsed="false">
      <c r="A270" s="2" t="s">
        <v>1350</v>
      </c>
      <c r="B270" s="2" t="s">
        <v>864</v>
      </c>
      <c r="C270" s="6" t="n">
        <v>45526</v>
      </c>
      <c r="D270" s="2" t="s">
        <v>39</v>
      </c>
      <c r="E270" s="2" t="s">
        <v>1101</v>
      </c>
      <c r="F270" s="2" t="s">
        <v>1067</v>
      </c>
      <c r="G270" s="2" t="s">
        <v>1085</v>
      </c>
      <c r="H270" s="2" t="s">
        <v>67</v>
      </c>
      <c r="I270" s="2" t="s">
        <v>1072</v>
      </c>
    </row>
    <row r="271" customFormat="false" ht="15" hidden="false" customHeight="false" outlineLevel="0" collapsed="false">
      <c r="A271" s="2" t="s">
        <v>1351</v>
      </c>
      <c r="B271" s="2" t="s">
        <v>258</v>
      </c>
      <c r="C271" s="6" t="n">
        <v>45530</v>
      </c>
      <c r="D271" s="2" t="s">
        <v>39</v>
      </c>
      <c r="E271" s="2" t="s">
        <v>1090</v>
      </c>
      <c r="F271" s="2" t="s">
        <v>1067</v>
      </c>
      <c r="G271" s="2" t="s">
        <v>1068</v>
      </c>
      <c r="H271" s="2" t="s">
        <v>37</v>
      </c>
      <c r="I271" s="2" t="s">
        <v>1069</v>
      </c>
    </row>
    <row r="272" customFormat="false" ht="15" hidden="false" customHeight="false" outlineLevel="0" collapsed="false">
      <c r="A272" s="2" t="s">
        <v>1352</v>
      </c>
      <c r="B272" s="2" t="s">
        <v>799</v>
      </c>
      <c r="C272" s="6" t="n">
        <v>45530</v>
      </c>
      <c r="D272" s="2" t="s">
        <v>39</v>
      </c>
      <c r="E272" s="2" t="s">
        <v>1095</v>
      </c>
      <c r="F272" s="2" t="s">
        <v>1075</v>
      </c>
      <c r="G272" s="2" t="s">
        <v>1068</v>
      </c>
      <c r="H272" s="2" t="s">
        <v>57</v>
      </c>
      <c r="I272" s="2" t="s">
        <v>1069</v>
      </c>
    </row>
    <row r="273" customFormat="false" ht="15" hidden="false" customHeight="false" outlineLevel="0" collapsed="false">
      <c r="A273" s="2" t="s">
        <v>1353</v>
      </c>
      <c r="B273" s="2" t="s">
        <v>59</v>
      </c>
      <c r="C273" s="6" t="n">
        <v>45531</v>
      </c>
      <c r="D273" s="2" t="s">
        <v>39</v>
      </c>
      <c r="E273" s="2" t="s">
        <v>1090</v>
      </c>
      <c r="F273" s="2" t="s">
        <v>1067</v>
      </c>
      <c r="G273" s="2" t="s">
        <v>1085</v>
      </c>
      <c r="H273" s="2" t="s">
        <v>67</v>
      </c>
      <c r="I273" s="2" t="s">
        <v>1069</v>
      </c>
    </row>
    <row r="274" customFormat="false" ht="15" hidden="false" customHeight="false" outlineLevel="0" collapsed="false">
      <c r="A274" s="2" t="s">
        <v>1354</v>
      </c>
      <c r="B274" s="2" t="s">
        <v>389</v>
      </c>
      <c r="C274" s="6" t="n">
        <v>45531</v>
      </c>
      <c r="D274" s="2" t="s">
        <v>39</v>
      </c>
      <c r="E274" s="2" t="s">
        <v>1090</v>
      </c>
      <c r="F274" s="2" t="s">
        <v>1067</v>
      </c>
      <c r="G274" s="2" t="s">
        <v>1068</v>
      </c>
      <c r="H274" s="2" t="s">
        <v>37</v>
      </c>
      <c r="I274" s="2" t="s">
        <v>1069</v>
      </c>
    </row>
    <row r="275" customFormat="false" ht="15" hidden="false" customHeight="false" outlineLevel="0" collapsed="false">
      <c r="A275" s="2" t="s">
        <v>1355</v>
      </c>
      <c r="B275" s="2" t="s">
        <v>389</v>
      </c>
      <c r="C275" s="6" t="n">
        <v>45532</v>
      </c>
      <c r="D275" s="2" t="s">
        <v>39</v>
      </c>
      <c r="E275" s="2" t="s">
        <v>1095</v>
      </c>
      <c r="F275" s="2" t="s">
        <v>1075</v>
      </c>
      <c r="G275" s="2" t="s">
        <v>1068</v>
      </c>
      <c r="H275" s="2" t="s">
        <v>45</v>
      </c>
      <c r="I275" s="2" t="s">
        <v>1093</v>
      </c>
    </row>
    <row r="276" customFormat="false" ht="15" hidden="false" customHeight="false" outlineLevel="0" collapsed="false">
      <c r="A276" s="2" t="s">
        <v>1356</v>
      </c>
      <c r="B276" s="2" t="s">
        <v>751</v>
      </c>
      <c r="C276" s="6" t="n">
        <v>45533</v>
      </c>
      <c r="D276" s="2" t="s">
        <v>39</v>
      </c>
      <c r="E276" s="2" t="s">
        <v>1095</v>
      </c>
      <c r="F276" s="2" t="s">
        <v>1075</v>
      </c>
      <c r="G276" s="2" t="s">
        <v>1068</v>
      </c>
      <c r="H276" s="2" t="s">
        <v>45</v>
      </c>
      <c r="I276" s="2" t="s">
        <v>1069</v>
      </c>
    </row>
    <row r="277" customFormat="false" ht="15" hidden="false" customHeight="false" outlineLevel="0" collapsed="false">
      <c r="A277" s="2" t="s">
        <v>1357</v>
      </c>
      <c r="B277" s="2" t="s">
        <v>885</v>
      </c>
      <c r="C277" s="6" t="n">
        <v>45539</v>
      </c>
      <c r="D277" s="2" t="s">
        <v>39</v>
      </c>
      <c r="E277" s="2" t="s">
        <v>1071</v>
      </c>
      <c r="F277" s="2" t="s">
        <v>1067</v>
      </c>
      <c r="G277" s="2" t="s">
        <v>1068</v>
      </c>
      <c r="H277" s="2" t="s">
        <v>57</v>
      </c>
      <c r="I277" s="2" t="s">
        <v>1069</v>
      </c>
    </row>
    <row r="278" customFormat="false" ht="15" hidden="false" customHeight="false" outlineLevel="0" collapsed="false">
      <c r="A278" s="2" t="s">
        <v>1358</v>
      </c>
      <c r="B278" s="2" t="s">
        <v>274</v>
      </c>
      <c r="C278" s="6" t="n">
        <v>45540</v>
      </c>
      <c r="D278" s="2" t="s">
        <v>39</v>
      </c>
      <c r="E278" s="2" t="s">
        <v>1074</v>
      </c>
      <c r="F278" s="2" t="s">
        <v>1075</v>
      </c>
      <c r="G278" s="2" t="s">
        <v>1068</v>
      </c>
      <c r="H278" s="2" t="s">
        <v>57</v>
      </c>
      <c r="I278" s="2" t="s">
        <v>1069</v>
      </c>
    </row>
    <row r="279" customFormat="false" ht="15" hidden="false" customHeight="false" outlineLevel="0" collapsed="false">
      <c r="A279" s="2" t="s">
        <v>1359</v>
      </c>
      <c r="B279" s="2" t="s">
        <v>211</v>
      </c>
      <c r="C279" s="6" t="n">
        <v>45541</v>
      </c>
      <c r="D279" s="2" t="s">
        <v>39</v>
      </c>
      <c r="E279" s="2" t="s">
        <v>1080</v>
      </c>
      <c r="F279" s="2" t="s">
        <v>1067</v>
      </c>
      <c r="G279" s="2" t="s">
        <v>1068</v>
      </c>
      <c r="H279" s="2" t="s">
        <v>57</v>
      </c>
      <c r="I279" s="2" t="s">
        <v>1072</v>
      </c>
    </row>
    <row r="280" customFormat="false" ht="15" hidden="false" customHeight="false" outlineLevel="0" collapsed="false">
      <c r="A280" s="2" t="s">
        <v>1360</v>
      </c>
      <c r="B280" s="2" t="s">
        <v>829</v>
      </c>
      <c r="C280" s="6" t="n">
        <v>45545</v>
      </c>
      <c r="D280" s="2" t="s">
        <v>39</v>
      </c>
      <c r="E280" s="2" t="s">
        <v>1080</v>
      </c>
      <c r="F280" s="2" t="s">
        <v>1067</v>
      </c>
      <c r="G280" s="2" t="s">
        <v>1068</v>
      </c>
      <c r="H280" s="2" t="s">
        <v>45</v>
      </c>
      <c r="I280" s="2" t="s">
        <v>1072</v>
      </c>
    </row>
    <row r="281" customFormat="false" ht="15" hidden="false" customHeight="false" outlineLevel="0" collapsed="false">
      <c r="A281" s="2" t="s">
        <v>1361</v>
      </c>
      <c r="B281" s="2" t="s">
        <v>459</v>
      </c>
      <c r="C281" s="6" t="n">
        <v>45546</v>
      </c>
      <c r="D281" s="2" t="s">
        <v>39</v>
      </c>
      <c r="E281" s="2" t="s">
        <v>1114</v>
      </c>
      <c r="F281" s="2" t="s">
        <v>1075</v>
      </c>
      <c r="G281" s="2" t="s">
        <v>1068</v>
      </c>
      <c r="H281" s="2" t="s">
        <v>57</v>
      </c>
      <c r="I281" s="2" t="s">
        <v>1069</v>
      </c>
    </row>
    <row r="282" customFormat="false" ht="15" hidden="false" customHeight="false" outlineLevel="0" collapsed="false">
      <c r="A282" s="2" t="s">
        <v>1362</v>
      </c>
      <c r="B282" s="2" t="s">
        <v>766</v>
      </c>
      <c r="C282" s="6" t="n">
        <v>45546</v>
      </c>
      <c r="D282" s="2" t="s">
        <v>39</v>
      </c>
      <c r="E282" s="2" t="s">
        <v>1071</v>
      </c>
      <c r="F282" s="2" t="s">
        <v>1067</v>
      </c>
      <c r="G282" s="2" t="s">
        <v>1085</v>
      </c>
      <c r="H282" s="2" t="s">
        <v>67</v>
      </c>
      <c r="I282" s="2" t="s">
        <v>1072</v>
      </c>
    </row>
    <row r="283" customFormat="false" ht="15" hidden="false" customHeight="false" outlineLevel="0" collapsed="false">
      <c r="A283" s="2" t="s">
        <v>1363</v>
      </c>
      <c r="B283" s="2" t="s">
        <v>841</v>
      </c>
      <c r="C283" s="6" t="n">
        <v>45547</v>
      </c>
      <c r="D283" s="2" t="s">
        <v>39</v>
      </c>
      <c r="E283" s="2" t="s">
        <v>1080</v>
      </c>
      <c r="F283" s="2" t="s">
        <v>1067</v>
      </c>
      <c r="G283" s="2" t="s">
        <v>1068</v>
      </c>
      <c r="H283" s="2" t="s">
        <v>37</v>
      </c>
      <c r="I283" s="2" t="s">
        <v>1072</v>
      </c>
    </row>
    <row r="284" customFormat="false" ht="15" hidden="false" customHeight="false" outlineLevel="0" collapsed="false">
      <c r="A284" s="2" t="s">
        <v>1364</v>
      </c>
      <c r="B284" s="2" t="s">
        <v>867</v>
      </c>
      <c r="C284" s="6" t="n">
        <v>45551</v>
      </c>
      <c r="D284" s="2" t="s">
        <v>39</v>
      </c>
      <c r="E284" s="2" t="s">
        <v>1095</v>
      </c>
      <c r="F284" s="2" t="s">
        <v>1075</v>
      </c>
      <c r="G284" s="2" t="s">
        <v>1068</v>
      </c>
      <c r="H284" s="2" t="s">
        <v>37</v>
      </c>
      <c r="I284" s="2" t="s">
        <v>1069</v>
      </c>
    </row>
    <row r="285" customFormat="false" ht="15" hidden="false" customHeight="false" outlineLevel="0" collapsed="false">
      <c r="A285" s="2" t="s">
        <v>1365</v>
      </c>
      <c r="B285" s="2" t="s">
        <v>328</v>
      </c>
      <c r="C285" s="6" t="n">
        <v>45553</v>
      </c>
      <c r="D285" s="2" t="s">
        <v>39</v>
      </c>
      <c r="E285" s="2" t="s">
        <v>1114</v>
      </c>
      <c r="F285" s="2" t="s">
        <v>1075</v>
      </c>
      <c r="G285" s="2" t="s">
        <v>1068</v>
      </c>
      <c r="H285" s="2" t="s">
        <v>45</v>
      </c>
      <c r="I285" s="2" t="s">
        <v>1069</v>
      </c>
    </row>
    <row r="286" customFormat="false" ht="15" hidden="false" customHeight="false" outlineLevel="0" collapsed="false">
      <c r="A286" s="2" t="s">
        <v>1366</v>
      </c>
      <c r="B286" s="2" t="s">
        <v>417</v>
      </c>
      <c r="C286" s="6" t="n">
        <v>45553</v>
      </c>
      <c r="D286" s="2" t="s">
        <v>39</v>
      </c>
      <c r="E286" s="2" t="s">
        <v>1080</v>
      </c>
      <c r="F286" s="2" t="s">
        <v>1067</v>
      </c>
      <c r="G286" s="2" t="s">
        <v>1085</v>
      </c>
      <c r="H286" s="2" t="s">
        <v>67</v>
      </c>
      <c r="I286" s="2" t="s">
        <v>1069</v>
      </c>
    </row>
    <row r="287" customFormat="false" ht="15" hidden="false" customHeight="false" outlineLevel="0" collapsed="false">
      <c r="A287" s="2" t="s">
        <v>1367</v>
      </c>
      <c r="B287" s="2" t="s">
        <v>699</v>
      </c>
      <c r="C287" s="6" t="n">
        <v>45553</v>
      </c>
      <c r="D287" s="2" t="s">
        <v>39</v>
      </c>
      <c r="E287" s="2" t="s">
        <v>1101</v>
      </c>
      <c r="F287" s="2" t="s">
        <v>1067</v>
      </c>
      <c r="G287" s="2" t="s">
        <v>1068</v>
      </c>
      <c r="H287" s="2" t="s">
        <v>45</v>
      </c>
      <c r="I287" s="2" t="s">
        <v>1093</v>
      </c>
    </row>
    <row r="288" customFormat="false" ht="15" hidden="false" customHeight="false" outlineLevel="0" collapsed="false">
      <c r="A288" s="2" t="s">
        <v>1368</v>
      </c>
      <c r="B288" s="2" t="s">
        <v>784</v>
      </c>
      <c r="C288" s="6" t="n">
        <v>45558</v>
      </c>
      <c r="D288" s="2" t="s">
        <v>39</v>
      </c>
      <c r="E288" s="2" t="s">
        <v>1080</v>
      </c>
      <c r="F288" s="2" t="s">
        <v>1067</v>
      </c>
      <c r="G288" s="2" t="s">
        <v>1068</v>
      </c>
      <c r="H288" s="2" t="s">
        <v>57</v>
      </c>
      <c r="I288" s="2" t="s">
        <v>1069</v>
      </c>
    </row>
    <row r="289" customFormat="false" ht="15" hidden="false" customHeight="false" outlineLevel="0" collapsed="false">
      <c r="A289" s="2" t="s">
        <v>1369</v>
      </c>
      <c r="B289" s="2" t="s">
        <v>879</v>
      </c>
      <c r="C289" s="6" t="n">
        <v>45558</v>
      </c>
      <c r="D289" s="2" t="s">
        <v>39</v>
      </c>
      <c r="E289" s="2" t="s">
        <v>1066</v>
      </c>
      <c r="F289" s="2" t="s">
        <v>1067</v>
      </c>
      <c r="G289" s="2" t="s">
        <v>1068</v>
      </c>
      <c r="H289" s="2" t="s">
        <v>57</v>
      </c>
      <c r="I289" s="2" t="s">
        <v>1069</v>
      </c>
    </row>
    <row r="290" customFormat="false" ht="15" hidden="false" customHeight="false" outlineLevel="0" collapsed="false">
      <c r="A290" s="2" t="s">
        <v>1370</v>
      </c>
      <c r="B290" s="2" t="s">
        <v>892</v>
      </c>
      <c r="C290" s="6" t="n">
        <v>45558</v>
      </c>
      <c r="D290" s="2" t="s">
        <v>39</v>
      </c>
      <c r="E290" s="2" t="s">
        <v>1099</v>
      </c>
      <c r="F290" s="2" t="s">
        <v>1075</v>
      </c>
      <c r="G290" s="2" t="s">
        <v>1068</v>
      </c>
      <c r="H290" s="2" t="s">
        <v>37</v>
      </c>
      <c r="I290" s="2" t="s">
        <v>1069</v>
      </c>
    </row>
    <row r="291" customFormat="false" ht="15" hidden="false" customHeight="false" outlineLevel="0" collapsed="false">
      <c r="A291" s="2" t="s">
        <v>1371</v>
      </c>
      <c r="B291" s="2" t="s">
        <v>350</v>
      </c>
      <c r="C291" s="6" t="n">
        <v>45559</v>
      </c>
      <c r="D291" s="2" t="s">
        <v>39</v>
      </c>
      <c r="E291" s="2" t="s">
        <v>1114</v>
      </c>
      <c r="F291" s="2" t="s">
        <v>1075</v>
      </c>
      <c r="G291" s="2" t="s">
        <v>1068</v>
      </c>
      <c r="H291" s="2" t="s">
        <v>45</v>
      </c>
      <c r="I291" s="2" t="s">
        <v>1072</v>
      </c>
    </row>
    <row r="292" customFormat="false" ht="15" hidden="false" customHeight="false" outlineLevel="0" collapsed="false">
      <c r="A292" s="2" t="s">
        <v>1372</v>
      </c>
      <c r="B292" s="2" t="s">
        <v>772</v>
      </c>
      <c r="C292" s="6" t="n">
        <v>45560</v>
      </c>
      <c r="D292" s="2" t="s">
        <v>39</v>
      </c>
      <c r="E292" s="2" t="s">
        <v>1071</v>
      </c>
      <c r="F292" s="2" t="s">
        <v>1067</v>
      </c>
      <c r="G292" s="2" t="s">
        <v>1068</v>
      </c>
      <c r="H292" s="2" t="s">
        <v>45</v>
      </c>
      <c r="I292" s="2" t="s">
        <v>1072</v>
      </c>
    </row>
    <row r="293" customFormat="false" ht="15" hidden="false" customHeight="false" outlineLevel="0" collapsed="false">
      <c r="A293" s="2" t="s">
        <v>1373</v>
      </c>
      <c r="B293" s="2" t="s">
        <v>667</v>
      </c>
      <c r="C293" s="6" t="n">
        <v>45562</v>
      </c>
      <c r="D293" s="2" t="s">
        <v>39</v>
      </c>
      <c r="E293" s="2" t="s">
        <v>1099</v>
      </c>
      <c r="F293" s="2" t="s">
        <v>1075</v>
      </c>
      <c r="G293" s="2" t="s">
        <v>1068</v>
      </c>
      <c r="H293" s="2" t="s">
        <v>57</v>
      </c>
      <c r="I293" s="2" t="s">
        <v>1069</v>
      </c>
    </row>
    <row r="294" customFormat="false" ht="15" hidden="false" customHeight="false" outlineLevel="0" collapsed="false">
      <c r="A294" s="2" t="s">
        <v>1374</v>
      </c>
      <c r="B294" s="2" t="s">
        <v>856</v>
      </c>
      <c r="C294" s="6" t="n">
        <v>45562</v>
      </c>
      <c r="D294" s="2" t="s">
        <v>39</v>
      </c>
      <c r="E294" s="2" t="s">
        <v>1095</v>
      </c>
      <c r="F294" s="2" t="s">
        <v>1075</v>
      </c>
      <c r="G294" s="2" t="s">
        <v>1068</v>
      </c>
      <c r="H294" s="2" t="s">
        <v>45</v>
      </c>
      <c r="I294" s="2" t="s">
        <v>1069</v>
      </c>
    </row>
    <row r="295" customFormat="false" ht="15" hidden="false" customHeight="false" outlineLevel="0" collapsed="false">
      <c r="A295" s="2" t="s">
        <v>1375</v>
      </c>
      <c r="B295" s="2" t="s">
        <v>554</v>
      </c>
      <c r="C295" s="6" t="n">
        <v>45565</v>
      </c>
      <c r="D295" s="2" t="s">
        <v>39</v>
      </c>
      <c r="E295" s="2" t="s">
        <v>1101</v>
      </c>
      <c r="F295" s="2" t="s">
        <v>1067</v>
      </c>
      <c r="G295" s="2" t="s">
        <v>1068</v>
      </c>
      <c r="H295" s="2" t="s">
        <v>57</v>
      </c>
      <c r="I295" s="2" t="s">
        <v>1072</v>
      </c>
    </row>
    <row r="296" customFormat="false" ht="15" hidden="false" customHeight="false" outlineLevel="0" collapsed="false">
      <c r="A296" s="2" t="s">
        <v>1376</v>
      </c>
      <c r="B296" s="2" t="s">
        <v>667</v>
      </c>
      <c r="C296" s="6" t="n">
        <v>45565</v>
      </c>
      <c r="D296" s="2" t="s">
        <v>39</v>
      </c>
      <c r="E296" s="2" t="s">
        <v>1074</v>
      </c>
      <c r="F296" s="2" t="s">
        <v>1075</v>
      </c>
      <c r="G296" s="2" t="s">
        <v>1068</v>
      </c>
      <c r="H296" s="2" t="s">
        <v>37</v>
      </c>
      <c r="I296" s="2" t="s">
        <v>1069</v>
      </c>
    </row>
    <row r="297" customFormat="false" ht="15" hidden="false" customHeight="false" outlineLevel="0" collapsed="false">
      <c r="A297" s="2" t="s">
        <v>1377</v>
      </c>
      <c r="B297" s="2" t="s">
        <v>258</v>
      </c>
      <c r="C297" s="6" t="n">
        <v>45569</v>
      </c>
      <c r="D297" s="2" t="s">
        <v>39</v>
      </c>
      <c r="E297" s="2" t="s">
        <v>1095</v>
      </c>
      <c r="F297" s="2" t="s">
        <v>1075</v>
      </c>
      <c r="G297" s="2" t="s">
        <v>1068</v>
      </c>
      <c r="H297" s="2" t="s">
        <v>57</v>
      </c>
      <c r="I297" s="2" t="s">
        <v>1072</v>
      </c>
    </row>
    <row r="298" customFormat="false" ht="15" hidden="false" customHeight="false" outlineLevel="0" collapsed="false">
      <c r="A298" s="2" t="s">
        <v>1378</v>
      </c>
      <c r="B298" s="2" t="s">
        <v>456</v>
      </c>
      <c r="C298" s="6" t="n">
        <v>45569</v>
      </c>
      <c r="D298" s="2" t="s">
        <v>39</v>
      </c>
      <c r="E298" s="2" t="s">
        <v>1114</v>
      </c>
      <c r="F298" s="2" t="s">
        <v>1075</v>
      </c>
      <c r="G298" s="2" t="s">
        <v>1068</v>
      </c>
      <c r="H298" s="2" t="s">
        <v>37</v>
      </c>
      <c r="I298" s="2" t="s">
        <v>1069</v>
      </c>
    </row>
    <row r="299" customFormat="false" ht="15" hidden="false" customHeight="false" outlineLevel="0" collapsed="false">
      <c r="A299" s="2" t="s">
        <v>1379</v>
      </c>
      <c r="B299" s="2" t="s">
        <v>230</v>
      </c>
      <c r="C299" s="6" t="n">
        <v>45573</v>
      </c>
      <c r="D299" s="2" t="s">
        <v>39</v>
      </c>
      <c r="E299" s="2" t="s">
        <v>1114</v>
      </c>
      <c r="F299" s="2" t="s">
        <v>1075</v>
      </c>
      <c r="G299" s="2" t="s">
        <v>1068</v>
      </c>
      <c r="H299" s="2" t="s">
        <v>45</v>
      </c>
      <c r="I299" s="2" t="s">
        <v>1069</v>
      </c>
    </row>
    <row r="300" customFormat="false" ht="15" hidden="false" customHeight="false" outlineLevel="0" collapsed="false">
      <c r="A300" s="2" t="s">
        <v>1380</v>
      </c>
      <c r="B300" s="2" t="s">
        <v>675</v>
      </c>
      <c r="C300" s="6" t="n">
        <v>45575</v>
      </c>
      <c r="D300" s="2" t="s">
        <v>39</v>
      </c>
      <c r="E300" s="2" t="s">
        <v>1095</v>
      </c>
      <c r="F300" s="2" t="s">
        <v>1075</v>
      </c>
      <c r="G300" s="2" t="s">
        <v>1068</v>
      </c>
      <c r="H300" s="2" t="s">
        <v>57</v>
      </c>
      <c r="I300" s="2" t="s">
        <v>1072</v>
      </c>
    </row>
    <row r="301" customFormat="false" ht="15" hidden="false" customHeight="false" outlineLevel="0" collapsed="false">
      <c r="A301" s="2" t="s">
        <v>1381</v>
      </c>
      <c r="B301" s="2" t="s">
        <v>584</v>
      </c>
      <c r="C301" s="6" t="n">
        <v>45580</v>
      </c>
      <c r="D301" s="2" t="s">
        <v>39</v>
      </c>
      <c r="E301" s="2" t="s">
        <v>1071</v>
      </c>
      <c r="F301" s="2" t="s">
        <v>1067</v>
      </c>
      <c r="G301" s="2" t="s">
        <v>1068</v>
      </c>
      <c r="H301" s="2" t="s">
        <v>45</v>
      </c>
      <c r="I301" s="2" t="s">
        <v>1072</v>
      </c>
    </row>
    <row r="302" customFormat="false" ht="15" hidden="false" customHeight="false" outlineLevel="0" collapsed="false">
      <c r="A302" s="2" t="s">
        <v>1382</v>
      </c>
      <c r="B302" s="2" t="s">
        <v>695</v>
      </c>
      <c r="C302" s="6" t="n">
        <v>45580</v>
      </c>
      <c r="D302" s="2" t="s">
        <v>39</v>
      </c>
      <c r="E302" s="2" t="s">
        <v>1114</v>
      </c>
      <c r="F302" s="2" t="s">
        <v>1075</v>
      </c>
      <c r="G302" s="2" t="s">
        <v>1068</v>
      </c>
      <c r="H302" s="2" t="s">
        <v>37</v>
      </c>
      <c r="I302" s="2" t="s">
        <v>1069</v>
      </c>
    </row>
    <row r="303" customFormat="false" ht="15" hidden="false" customHeight="false" outlineLevel="0" collapsed="false">
      <c r="A303" s="2" t="s">
        <v>1383</v>
      </c>
      <c r="B303" s="2" t="s">
        <v>722</v>
      </c>
      <c r="C303" s="6" t="n">
        <v>45580</v>
      </c>
      <c r="D303" s="2" t="s">
        <v>39</v>
      </c>
      <c r="E303" s="2" t="s">
        <v>1114</v>
      </c>
      <c r="F303" s="2" t="s">
        <v>1075</v>
      </c>
      <c r="G303" s="2" t="s">
        <v>1068</v>
      </c>
      <c r="H303" s="2" t="s">
        <v>37</v>
      </c>
      <c r="I303" s="2" t="s">
        <v>1069</v>
      </c>
    </row>
    <row r="304" customFormat="false" ht="15" hidden="false" customHeight="false" outlineLevel="0" collapsed="false">
      <c r="A304" s="2" t="s">
        <v>1384</v>
      </c>
      <c r="B304" s="2" t="s">
        <v>772</v>
      </c>
      <c r="C304" s="6" t="n">
        <v>45581</v>
      </c>
      <c r="D304" s="2" t="s">
        <v>39</v>
      </c>
      <c r="E304" s="2" t="s">
        <v>1080</v>
      </c>
      <c r="F304" s="2" t="s">
        <v>1067</v>
      </c>
      <c r="G304" s="2" t="s">
        <v>1068</v>
      </c>
      <c r="H304" s="2" t="s">
        <v>45</v>
      </c>
      <c r="I304" s="2" t="s">
        <v>1069</v>
      </c>
    </row>
    <row r="305" customFormat="false" ht="15" hidden="false" customHeight="false" outlineLevel="0" collapsed="false">
      <c r="A305" s="2" t="s">
        <v>1385</v>
      </c>
      <c r="B305" s="2" t="s">
        <v>832</v>
      </c>
      <c r="C305" s="6" t="n">
        <v>45581</v>
      </c>
      <c r="D305" s="2" t="s">
        <v>39</v>
      </c>
      <c r="E305" s="2" t="s">
        <v>1114</v>
      </c>
      <c r="F305" s="2" t="s">
        <v>1075</v>
      </c>
      <c r="G305" s="2" t="s">
        <v>1068</v>
      </c>
      <c r="H305" s="2" t="s">
        <v>37</v>
      </c>
      <c r="I305" s="2" t="s">
        <v>1072</v>
      </c>
    </row>
    <row r="306" customFormat="false" ht="15" hidden="false" customHeight="false" outlineLevel="0" collapsed="false">
      <c r="A306" s="2" t="s">
        <v>1386</v>
      </c>
      <c r="B306" s="2" t="s">
        <v>258</v>
      </c>
      <c r="C306" s="6" t="n">
        <v>45582</v>
      </c>
      <c r="D306" s="2" t="s">
        <v>39</v>
      </c>
      <c r="E306" s="2" t="s">
        <v>1066</v>
      </c>
      <c r="F306" s="2" t="s">
        <v>1067</v>
      </c>
      <c r="G306" s="2" t="s">
        <v>1068</v>
      </c>
      <c r="H306" s="2" t="s">
        <v>37</v>
      </c>
      <c r="I306" s="2" t="s">
        <v>1072</v>
      </c>
    </row>
    <row r="307" customFormat="false" ht="15" hidden="false" customHeight="false" outlineLevel="0" collapsed="false">
      <c r="A307" s="2" t="s">
        <v>1387</v>
      </c>
      <c r="B307" s="2" t="s">
        <v>536</v>
      </c>
      <c r="C307" s="6" t="n">
        <v>45582</v>
      </c>
      <c r="D307" s="2" t="s">
        <v>39</v>
      </c>
      <c r="E307" s="2" t="s">
        <v>1078</v>
      </c>
      <c r="F307" s="2" t="s">
        <v>1075</v>
      </c>
      <c r="G307" s="2" t="s">
        <v>1068</v>
      </c>
      <c r="H307" s="2" t="s">
        <v>45</v>
      </c>
      <c r="I307" s="2" t="s">
        <v>1069</v>
      </c>
    </row>
    <row r="308" customFormat="false" ht="15" hidden="false" customHeight="false" outlineLevel="0" collapsed="false">
      <c r="A308" s="2" t="s">
        <v>1388</v>
      </c>
      <c r="B308" s="2" t="s">
        <v>661</v>
      </c>
      <c r="C308" s="6" t="n">
        <v>45583</v>
      </c>
      <c r="D308" s="2" t="s">
        <v>39</v>
      </c>
      <c r="E308" s="2" t="s">
        <v>1066</v>
      </c>
      <c r="F308" s="2" t="s">
        <v>1067</v>
      </c>
      <c r="G308" s="2" t="s">
        <v>1068</v>
      </c>
      <c r="H308" s="2" t="s">
        <v>37</v>
      </c>
      <c r="I308" s="2" t="s">
        <v>1069</v>
      </c>
    </row>
    <row r="309" customFormat="false" ht="15" hidden="false" customHeight="false" outlineLevel="0" collapsed="false">
      <c r="A309" s="2" t="s">
        <v>1389</v>
      </c>
      <c r="B309" s="2" t="s">
        <v>186</v>
      </c>
      <c r="C309" s="6" t="n">
        <v>45586</v>
      </c>
      <c r="D309" s="2" t="s">
        <v>39</v>
      </c>
      <c r="E309" s="2" t="s">
        <v>1078</v>
      </c>
      <c r="F309" s="2" t="s">
        <v>1075</v>
      </c>
      <c r="G309" s="2" t="s">
        <v>1068</v>
      </c>
      <c r="H309" s="2" t="s">
        <v>37</v>
      </c>
      <c r="I309" s="2" t="s">
        <v>1069</v>
      </c>
    </row>
    <row r="310" customFormat="false" ht="15" hidden="false" customHeight="false" outlineLevel="0" collapsed="false">
      <c r="A310" s="2" t="s">
        <v>1390</v>
      </c>
      <c r="B310" s="2" t="s">
        <v>92</v>
      </c>
      <c r="C310" s="6" t="n">
        <v>45590</v>
      </c>
      <c r="D310" s="2" t="s">
        <v>39</v>
      </c>
      <c r="E310" s="2" t="s">
        <v>1071</v>
      </c>
      <c r="F310" s="2" t="s">
        <v>1067</v>
      </c>
      <c r="G310" s="2" t="s">
        <v>1068</v>
      </c>
      <c r="H310" s="2" t="s">
        <v>45</v>
      </c>
      <c r="I310" s="2" t="s">
        <v>1093</v>
      </c>
    </row>
    <row r="311" customFormat="false" ht="15" hidden="false" customHeight="false" outlineLevel="0" collapsed="false">
      <c r="A311" s="2" t="s">
        <v>1391</v>
      </c>
      <c r="B311" s="2" t="s">
        <v>508</v>
      </c>
      <c r="C311" s="6" t="n">
        <v>45590</v>
      </c>
      <c r="D311" s="2" t="s">
        <v>39</v>
      </c>
      <c r="E311" s="2" t="s">
        <v>1099</v>
      </c>
      <c r="F311" s="2" t="s">
        <v>1075</v>
      </c>
      <c r="G311" s="2" t="s">
        <v>1068</v>
      </c>
      <c r="H311" s="2" t="s">
        <v>37</v>
      </c>
      <c r="I311" s="2" t="s">
        <v>1069</v>
      </c>
    </row>
    <row r="312" customFormat="false" ht="15" hidden="false" customHeight="false" outlineLevel="0" collapsed="false">
      <c r="A312" s="2" t="s">
        <v>1392</v>
      </c>
      <c r="B312" s="2" t="s">
        <v>258</v>
      </c>
      <c r="C312" s="6" t="n">
        <v>45594</v>
      </c>
      <c r="D312" s="2" t="s">
        <v>39</v>
      </c>
      <c r="E312" s="2" t="s">
        <v>1101</v>
      </c>
      <c r="F312" s="2" t="s">
        <v>1067</v>
      </c>
      <c r="G312" s="2" t="s">
        <v>1085</v>
      </c>
      <c r="H312" s="2" t="s">
        <v>67</v>
      </c>
      <c r="I312" s="2" t="s">
        <v>1072</v>
      </c>
    </row>
    <row r="313" customFormat="false" ht="15" hidden="false" customHeight="false" outlineLevel="0" collapsed="false">
      <c r="A313" s="2" t="s">
        <v>1393</v>
      </c>
      <c r="B313" s="2" t="s">
        <v>618</v>
      </c>
      <c r="C313" s="6" t="n">
        <v>45597</v>
      </c>
      <c r="D313" s="2" t="s">
        <v>39</v>
      </c>
      <c r="E313" s="2" t="s">
        <v>1101</v>
      </c>
      <c r="F313" s="2" t="s">
        <v>1067</v>
      </c>
      <c r="G313" s="2" t="s">
        <v>1068</v>
      </c>
      <c r="H313" s="2" t="s">
        <v>37</v>
      </c>
      <c r="I313" s="2" t="s">
        <v>1093</v>
      </c>
    </row>
    <row r="314" customFormat="false" ht="15" hidden="false" customHeight="false" outlineLevel="0" collapsed="false">
      <c r="A314" s="2" t="s">
        <v>1394</v>
      </c>
      <c r="B314" s="2" t="s">
        <v>248</v>
      </c>
      <c r="C314" s="6" t="n">
        <v>45601</v>
      </c>
      <c r="D314" s="2" t="s">
        <v>39</v>
      </c>
      <c r="E314" s="2" t="s">
        <v>1114</v>
      </c>
      <c r="F314" s="2" t="s">
        <v>1075</v>
      </c>
      <c r="G314" s="2" t="s">
        <v>1068</v>
      </c>
      <c r="H314" s="2" t="s">
        <v>45</v>
      </c>
      <c r="I314" s="2" t="s">
        <v>1072</v>
      </c>
    </row>
    <row r="315" customFormat="false" ht="15" hidden="false" customHeight="false" outlineLevel="0" collapsed="false">
      <c r="A315" s="2" t="s">
        <v>1395</v>
      </c>
      <c r="B315" s="2" t="s">
        <v>459</v>
      </c>
      <c r="C315" s="6" t="n">
        <v>45604</v>
      </c>
      <c r="D315" s="2" t="s">
        <v>39</v>
      </c>
      <c r="E315" s="2" t="s">
        <v>1095</v>
      </c>
      <c r="F315" s="2" t="s">
        <v>1075</v>
      </c>
      <c r="G315" s="2" t="s">
        <v>1068</v>
      </c>
      <c r="H315" s="2" t="s">
        <v>37</v>
      </c>
      <c r="I315" s="2" t="s">
        <v>1069</v>
      </c>
    </row>
    <row r="316" customFormat="false" ht="15" hidden="false" customHeight="false" outlineLevel="0" collapsed="false">
      <c r="A316" s="2" t="s">
        <v>1396</v>
      </c>
      <c r="B316" s="2" t="s">
        <v>294</v>
      </c>
      <c r="C316" s="6" t="n">
        <v>45607</v>
      </c>
      <c r="D316" s="2" t="s">
        <v>39</v>
      </c>
      <c r="E316" s="2" t="s">
        <v>1071</v>
      </c>
      <c r="F316" s="2" t="s">
        <v>1067</v>
      </c>
      <c r="G316" s="2" t="s">
        <v>1068</v>
      </c>
      <c r="H316" s="2" t="s">
        <v>45</v>
      </c>
      <c r="I316" s="2" t="s">
        <v>1072</v>
      </c>
    </row>
    <row r="317" customFormat="false" ht="15" hidden="false" customHeight="false" outlineLevel="0" collapsed="false">
      <c r="A317" s="2" t="s">
        <v>1397</v>
      </c>
      <c r="B317" s="2" t="s">
        <v>892</v>
      </c>
      <c r="C317" s="6" t="n">
        <v>45608</v>
      </c>
      <c r="D317" s="2" t="s">
        <v>39</v>
      </c>
      <c r="E317" s="2" t="s">
        <v>1095</v>
      </c>
      <c r="F317" s="2" t="s">
        <v>1075</v>
      </c>
      <c r="G317" s="2" t="s">
        <v>1068</v>
      </c>
      <c r="H317" s="2" t="s">
        <v>57</v>
      </c>
      <c r="I317" s="2" t="s">
        <v>1069</v>
      </c>
    </row>
    <row r="318" customFormat="false" ht="15" hidden="false" customHeight="false" outlineLevel="0" collapsed="false">
      <c r="A318" s="2" t="s">
        <v>1398</v>
      </c>
      <c r="B318" s="2" t="s">
        <v>302</v>
      </c>
      <c r="C318" s="6" t="n">
        <v>45609</v>
      </c>
      <c r="D318" s="2" t="s">
        <v>39</v>
      </c>
      <c r="E318" s="2" t="s">
        <v>1071</v>
      </c>
      <c r="F318" s="2" t="s">
        <v>1067</v>
      </c>
      <c r="G318" s="2" t="s">
        <v>1068</v>
      </c>
      <c r="H318" s="2" t="s">
        <v>45</v>
      </c>
      <c r="I318" s="2" t="s">
        <v>1072</v>
      </c>
    </row>
    <row r="319" customFormat="false" ht="15" hidden="false" customHeight="false" outlineLevel="0" collapsed="false">
      <c r="A319" s="2" t="s">
        <v>1399</v>
      </c>
      <c r="B319" s="2" t="s">
        <v>248</v>
      </c>
      <c r="C319" s="6" t="n">
        <v>45610</v>
      </c>
      <c r="D319" s="2" t="s">
        <v>39</v>
      </c>
      <c r="E319" s="2" t="s">
        <v>1101</v>
      </c>
      <c r="F319" s="2" t="s">
        <v>1067</v>
      </c>
      <c r="G319" s="2" t="s">
        <v>1068</v>
      </c>
      <c r="H319" s="2" t="s">
        <v>57</v>
      </c>
      <c r="I319" s="2" t="s">
        <v>1072</v>
      </c>
    </row>
    <row r="320" customFormat="false" ht="15" hidden="false" customHeight="false" outlineLevel="0" collapsed="false">
      <c r="A320" s="2" t="s">
        <v>1400</v>
      </c>
      <c r="B320" s="2" t="s">
        <v>163</v>
      </c>
      <c r="C320" s="6" t="n">
        <v>45611</v>
      </c>
      <c r="D320" s="2" t="s">
        <v>39</v>
      </c>
      <c r="E320" s="2" t="s">
        <v>1066</v>
      </c>
      <c r="F320" s="2" t="s">
        <v>1067</v>
      </c>
      <c r="G320" s="2" t="s">
        <v>1068</v>
      </c>
      <c r="H320" s="2" t="s">
        <v>45</v>
      </c>
      <c r="I320" s="2" t="s">
        <v>1069</v>
      </c>
    </row>
    <row r="321" customFormat="false" ht="15" hidden="false" customHeight="false" outlineLevel="0" collapsed="false">
      <c r="A321" s="2" t="s">
        <v>1401</v>
      </c>
      <c r="B321" s="2" t="s">
        <v>268</v>
      </c>
      <c r="C321" s="6" t="n">
        <v>45611</v>
      </c>
      <c r="D321" s="2" t="s">
        <v>39</v>
      </c>
      <c r="E321" s="2" t="s">
        <v>1101</v>
      </c>
      <c r="F321" s="2" t="s">
        <v>1067</v>
      </c>
      <c r="G321" s="2" t="s">
        <v>1085</v>
      </c>
      <c r="H321" s="2" t="s">
        <v>67</v>
      </c>
      <c r="I321" s="2" t="s">
        <v>1069</v>
      </c>
    </row>
    <row r="322" customFormat="false" ht="15" hidden="false" customHeight="false" outlineLevel="0" collapsed="false">
      <c r="A322" s="2" t="s">
        <v>1402</v>
      </c>
      <c r="B322" s="2" t="s">
        <v>838</v>
      </c>
      <c r="C322" s="6" t="n">
        <v>45617</v>
      </c>
      <c r="D322" s="2" t="s">
        <v>39</v>
      </c>
      <c r="E322" s="2" t="s">
        <v>1066</v>
      </c>
      <c r="F322" s="2" t="s">
        <v>1067</v>
      </c>
      <c r="G322" s="2" t="s">
        <v>1068</v>
      </c>
      <c r="H322" s="2" t="s">
        <v>45</v>
      </c>
      <c r="I322" s="2" t="s">
        <v>1072</v>
      </c>
    </row>
    <row r="323" customFormat="false" ht="15" hidden="false" customHeight="false" outlineLevel="0" collapsed="false">
      <c r="A323" s="2" t="s">
        <v>1403</v>
      </c>
      <c r="B323" s="2" t="s">
        <v>808</v>
      </c>
      <c r="C323" s="6" t="n">
        <v>45621</v>
      </c>
      <c r="D323" s="2" t="s">
        <v>39</v>
      </c>
      <c r="E323" s="2" t="s">
        <v>1080</v>
      </c>
      <c r="F323" s="2" t="s">
        <v>1067</v>
      </c>
      <c r="G323" s="2" t="s">
        <v>1068</v>
      </c>
      <c r="H323" s="2" t="s">
        <v>45</v>
      </c>
      <c r="I323" s="2" t="s">
        <v>1069</v>
      </c>
    </row>
    <row r="324" customFormat="false" ht="15" hidden="false" customHeight="false" outlineLevel="0" collapsed="false">
      <c r="A324" s="2" t="s">
        <v>1404</v>
      </c>
      <c r="B324" s="2" t="s">
        <v>236</v>
      </c>
      <c r="C324" s="6" t="n">
        <v>45622</v>
      </c>
      <c r="D324" s="2" t="s">
        <v>39</v>
      </c>
      <c r="E324" s="2" t="s">
        <v>1078</v>
      </c>
      <c r="F324" s="2" t="s">
        <v>1075</v>
      </c>
      <c r="G324" s="2" t="s">
        <v>1068</v>
      </c>
      <c r="H324" s="2" t="s">
        <v>45</v>
      </c>
      <c r="I324" s="2" t="s">
        <v>1072</v>
      </c>
    </row>
    <row r="325" customFormat="false" ht="15" hidden="false" customHeight="false" outlineLevel="0" collapsed="false">
      <c r="A325" s="2" t="s">
        <v>1405</v>
      </c>
      <c r="B325" s="2" t="s">
        <v>882</v>
      </c>
      <c r="C325" s="6" t="n">
        <v>45623</v>
      </c>
      <c r="D325" s="2" t="s">
        <v>39</v>
      </c>
      <c r="E325" s="2" t="s">
        <v>1099</v>
      </c>
      <c r="F325" s="2" t="s">
        <v>1075</v>
      </c>
      <c r="G325" s="2" t="s">
        <v>1068</v>
      </c>
      <c r="H325" s="2" t="s">
        <v>45</v>
      </c>
      <c r="I325" s="2" t="s">
        <v>1069</v>
      </c>
    </row>
    <row r="326" customFormat="false" ht="15" hidden="false" customHeight="false" outlineLevel="0" collapsed="false">
      <c r="A326" s="2" t="s">
        <v>1406</v>
      </c>
      <c r="B326" s="2" t="s">
        <v>258</v>
      </c>
      <c r="C326" s="6" t="n">
        <v>45625</v>
      </c>
      <c r="D326" s="2" t="s">
        <v>39</v>
      </c>
      <c r="E326" s="2" t="s">
        <v>1074</v>
      </c>
      <c r="F326" s="2" t="s">
        <v>1075</v>
      </c>
      <c r="G326" s="2" t="s">
        <v>1068</v>
      </c>
      <c r="H326" s="2" t="s">
        <v>45</v>
      </c>
      <c r="I326" s="2" t="s">
        <v>1072</v>
      </c>
    </row>
    <row r="327" customFormat="false" ht="15" hidden="false" customHeight="false" outlineLevel="0" collapsed="false">
      <c r="A327" s="2" t="s">
        <v>1407</v>
      </c>
      <c r="B327" s="2" t="s">
        <v>177</v>
      </c>
      <c r="C327" s="6" t="n">
        <v>45628</v>
      </c>
      <c r="D327" s="2" t="s">
        <v>39</v>
      </c>
      <c r="E327" s="2" t="s">
        <v>1090</v>
      </c>
      <c r="F327" s="2" t="s">
        <v>1067</v>
      </c>
      <c r="G327" s="2" t="s">
        <v>1085</v>
      </c>
      <c r="H327" s="2" t="s">
        <v>67</v>
      </c>
      <c r="I327" s="2" t="s">
        <v>1069</v>
      </c>
    </row>
    <row r="328" customFormat="false" ht="15" hidden="false" customHeight="false" outlineLevel="0" collapsed="false">
      <c r="A328" s="2" t="s">
        <v>1408</v>
      </c>
      <c r="B328" s="2" t="s">
        <v>483</v>
      </c>
      <c r="C328" s="6" t="n">
        <v>45630</v>
      </c>
      <c r="D328" s="2" t="s">
        <v>39</v>
      </c>
      <c r="E328" s="2" t="s">
        <v>1066</v>
      </c>
      <c r="F328" s="2" t="s">
        <v>1067</v>
      </c>
      <c r="G328" s="2" t="s">
        <v>1068</v>
      </c>
      <c r="H328" s="2" t="s">
        <v>37</v>
      </c>
      <c r="I328" s="2" t="s">
        <v>1069</v>
      </c>
    </row>
    <row r="329" customFormat="false" ht="15" hidden="false" customHeight="false" outlineLevel="0" collapsed="false">
      <c r="A329" s="2" t="s">
        <v>1409</v>
      </c>
      <c r="B329" s="2" t="s">
        <v>829</v>
      </c>
      <c r="C329" s="6" t="n">
        <v>45630</v>
      </c>
      <c r="D329" s="2" t="s">
        <v>39</v>
      </c>
      <c r="E329" s="2" t="s">
        <v>1114</v>
      </c>
      <c r="F329" s="2" t="s">
        <v>1075</v>
      </c>
      <c r="G329" s="2" t="s">
        <v>1068</v>
      </c>
      <c r="H329" s="2" t="s">
        <v>37</v>
      </c>
      <c r="I329" s="2" t="s">
        <v>1069</v>
      </c>
    </row>
    <row r="330" customFormat="false" ht="15" hidden="false" customHeight="false" outlineLevel="0" collapsed="false">
      <c r="A330" s="2" t="s">
        <v>1410</v>
      </c>
      <c r="B330" s="2" t="s">
        <v>497</v>
      </c>
      <c r="C330" s="6" t="n">
        <v>45632</v>
      </c>
      <c r="D330" s="2" t="s">
        <v>39</v>
      </c>
      <c r="E330" s="2" t="s">
        <v>1090</v>
      </c>
      <c r="F330" s="2" t="s">
        <v>1067</v>
      </c>
      <c r="G330" s="2" t="s">
        <v>1068</v>
      </c>
      <c r="H330" s="2" t="s">
        <v>45</v>
      </c>
      <c r="I330" s="2" t="s">
        <v>1069</v>
      </c>
    </row>
    <row r="331" customFormat="false" ht="15" hidden="false" customHeight="false" outlineLevel="0" collapsed="false">
      <c r="A331" s="2" t="s">
        <v>1411</v>
      </c>
      <c r="B331" s="2" t="s">
        <v>453</v>
      </c>
      <c r="C331" s="6" t="n">
        <v>45635</v>
      </c>
      <c r="D331" s="2" t="s">
        <v>39</v>
      </c>
      <c r="E331" s="2" t="s">
        <v>1066</v>
      </c>
      <c r="F331" s="2" t="s">
        <v>1067</v>
      </c>
      <c r="G331" s="2" t="s">
        <v>1068</v>
      </c>
      <c r="H331" s="2" t="s">
        <v>45</v>
      </c>
      <c r="I331" s="2" t="s">
        <v>1072</v>
      </c>
    </row>
    <row r="332" customFormat="false" ht="15" hidden="false" customHeight="false" outlineLevel="0" collapsed="false">
      <c r="A332" s="2" t="s">
        <v>1412</v>
      </c>
      <c r="B332" s="2" t="s">
        <v>728</v>
      </c>
      <c r="C332" s="6" t="n">
        <v>45635</v>
      </c>
      <c r="D332" s="2" t="s">
        <v>39</v>
      </c>
      <c r="E332" s="2" t="s">
        <v>1090</v>
      </c>
      <c r="F332" s="2" t="s">
        <v>1067</v>
      </c>
      <c r="G332" s="2" t="s">
        <v>1085</v>
      </c>
      <c r="H332" s="2" t="s">
        <v>67</v>
      </c>
      <c r="I332" s="2" t="s">
        <v>1069</v>
      </c>
    </row>
    <row r="333" customFormat="false" ht="15" hidden="false" customHeight="false" outlineLevel="0" collapsed="false">
      <c r="A333" s="2" t="s">
        <v>1413</v>
      </c>
      <c r="B333" s="2" t="s">
        <v>908</v>
      </c>
      <c r="C333" s="6" t="n">
        <v>45638</v>
      </c>
      <c r="D333" s="2" t="s">
        <v>39</v>
      </c>
      <c r="E333" s="2" t="s">
        <v>1066</v>
      </c>
      <c r="F333" s="2" t="s">
        <v>1067</v>
      </c>
      <c r="G333" s="2" t="s">
        <v>1085</v>
      </c>
      <c r="H333" s="2" t="s">
        <v>67</v>
      </c>
      <c r="I333" s="2" t="s">
        <v>1072</v>
      </c>
    </row>
    <row r="334" customFormat="false" ht="15" hidden="false" customHeight="false" outlineLevel="0" collapsed="false">
      <c r="A334" s="2" t="s">
        <v>1414</v>
      </c>
      <c r="B334" s="2" t="s">
        <v>29</v>
      </c>
      <c r="C334" s="6" t="n">
        <v>45642</v>
      </c>
      <c r="D334" s="2" t="s">
        <v>39</v>
      </c>
      <c r="E334" s="2" t="s">
        <v>1101</v>
      </c>
      <c r="F334" s="2" t="s">
        <v>1067</v>
      </c>
      <c r="G334" s="2" t="s">
        <v>1068</v>
      </c>
      <c r="H334" s="2" t="s">
        <v>57</v>
      </c>
      <c r="I334" s="2" t="s">
        <v>1072</v>
      </c>
    </row>
    <row r="335" customFormat="false" ht="15" hidden="false" customHeight="false" outlineLevel="0" collapsed="false">
      <c r="A335" s="2" t="s">
        <v>1415</v>
      </c>
      <c r="B335" s="2" t="s">
        <v>417</v>
      </c>
      <c r="C335" s="6" t="n">
        <v>45642</v>
      </c>
      <c r="D335" s="2" t="s">
        <v>39</v>
      </c>
      <c r="E335" s="2" t="s">
        <v>1074</v>
      </c>
      <c r="F335" s="2" t="s">
        <v>1075</v>
      </c>
      <c r="G335" s="2" t="s">
        <v>1068</v>
      </c>
      <c r="H335" s="2" t="s">
        <v>57</v>
      </c>
      <c r="I335" s="2" t="s">
        <v>1069</v>
      </c>
    </row>
    <row r="336" customFormat="false" ht="15" hidden="false" customHeight="false" outlineLevel="0" collapsed="false">
      <c r="A336" s="2" t="s">
        <v>1416</v>
      </c>
      <c r="B336" s="2" t="s">
        <v>624</v>
      </c>
      <c r="C336" s="6" t="n">
        <v>45644</v>
      </c>
      <c r="D336" s="2" t="s">
        <v>39</v>
      </c>
      <c r="E336" s="2" t="s">
        <v>1066</v>
      </c>
      <c r="F336" s="2" t="s">
        <v>1067</v>
      </c>
      <c r="G336" s="2" t="s">
        <v>1068</v>
      </c>
      <c r="H336" s="2" t="s">
        <v>57</v>
      </c>
      <c r="I336" s="2" t="s">
        <v>1069</v>
      </c>
    </row>
    <row r="337" customFormat="false" ht="15" hidden="false" customHeight="false" outlineLevel="0" collapsed="false">
      <c r="A337" s="2" t="s">
        <v>1417</v>
      </c>
      <c r="B337" s="2" t="s">
        <v>799</v>
      </c>
      <c r="C337" s="6" t="n">
        <v>45644</v>
      </c>
      <c r="D337" s="2" t="s">
        <v>39</v>
      </c>
      <c r="E337" s="2" t="s">
        <v>1099</v>
      </c>
      <c r="F337" s="2" t="s">
        <v>1075</v>
      </c>
      <c r="G337" s="2" t="s">
        <v>1068</v>
      </c>
      <c r="H337" s="2" t="s">
        <v>45</v>
      </c>
      <c r="I337" s="2" t="s">
        <v>1069</v>
      </c>
    </row>
    <row r="338" customFormat="false" ht="15" hidden="false" customHeight="false" outlineLevel="0" collapsed="false">
      <c r="A338" s="2" t="s">
        <v>1418</v>
      </c>
      <c r="B338" s="2" t="s">
        <v>459</v>
      </c>
      <c r="C338" s="6" t="n">
        <v>45651</v>
      </c>
      <c r="D338" s="2" t="s">
        <v>39</v>
      </c>
      <c r="E338" s="2" t="s">
        <v>1099</v>
      </c>
      <c r="F338" s="2" t="s">
        <v>1075</v>
      </c>
      <c r="G338" s="2" t="s">
        <v>1068</v>
      </c>
      <c r="H338" s="2" t="s">
        <v>37</v>
      </c>
      <c r="I338" s="2" t="s">
        <v>1069</v>
      </c>
    </row>
    <row r="339" customFormat="false" ht="15" hidden="false" customHeight="false" outlineLevel="0" collapsed="false">
      <c r="A339" s="2" t="s">
        <v>1419</v>
      </c>
      <c r="B339" s="2" t="s">
        <v>389</v>
      </c>
      <c r="C339" s="6" t="n">
        <v>45653</v>
      </c>
      <c r="D339" s="2" t="s">
        <v>39</v>
      </c>
      <c r="E339" s="2" t="s">
        <v>1071</v>
      </c>
      <c r="F339" s="2" t="s">
        <v>1067</v>
      </c>
      <c r="G339" s="2" t="s">
        <v>1085</v>
      </c>
      <c r="H339" s="2" t="s">
        <v>67</v>
      </c>
      <c r="I339" s="2" t="s">
        <v>1069</v>
      </c>
    </row>
    <row r="340" customFormat="false" ht="15" hidden="false" customHeight="false" outlineLevel="0" collapsed="false">
      <c r="A340" s="2" t="s">
        <v>1420</v>
      </c>
      <c r="B340" s="2" t="s">
        <v>224</v>
      </c>
      <c r="C340" s="6" t="n">
        <v>45658</v>
      </c>
      <c r="D340" s="2" t="s">
        <v>39</v>
      </c>
      <c r="E340" s="2" t="s">
        <v>1090</v>
      </c>
      <c r="F340" s="2" t="s">
        <v>1067</v>
      </c>
      <c r="G340" s="2" t="s">
        <v>1068</v>
      </c>
      <c r="H340" s="2" t="s">
        <v>37</v>
      </c>
      <c r="I340" s="2" t="s">
        <v>1069</v>
      </c>
    </row>
    <row r="341" customFormat="false" ht="15" hidden="false" customHeight="false" outlineLevel="0" collapsed="false">
      <c r="A341" s="2" t="s">
        <v>1421</v>
      </c>
      <c r="B341" s="2" t="s">
        <v>861</v>
      </c>
      <c r="C341" s="6" t="n">
        <v>45658</v>
      </c>
      <c r="D341" s="2" t="s">
        <v>39</v>
      </c>
      <c r="E341" s="2" t="s">
        <v>1090</v>
      </c>
      <c r="F341" s="2" t="s">
        <v>1067</v>
      </c>
      <c r="G341" s="2" t="s">
        <v>1085</v>
      </c>
      <c r="H341" s="2" t="s">
        <v>67</v>
      </c>
      <c r="I341" s="2" t="s">
        <v>1072</v>
      </c>
    </row>
    <row r="342" customFormat="false" ht="15" hidden="false" customHeight="false" outlineLevel="0" collapsed="false">
      <c r="A342" s="2" t="s">
        <v>1422</v>
      </c>
      <c r="B342" s="2" t="s">
        <v>885</v>
      </c>
      <c r="C342" s="6" t="n">
        <v>45660</v>
      </c>
      <c r="D342" s="2" t="s">
        <v>39</v>
      </c>
      <c r="E342" s="2" t="s">
        <v>1114</v>
      </c>
      <c r="F342" s="2" t="s">
        <v>1075</v>
      </c>
      <c r="G342" s="2" t="s">
        <v>1068</v>
      </c>
      <c r="H342" s="2" t="s">
        <v>45</v>
      </c>
      <c r="I342" s="2" t="s">
        <v>1072</v>
      </c>
    </row>
    <row r="343" customFormat="false" ht="15" hidden="false" customHeight="false" outlineLevel="0" collapsed="false">
      <c r="A343" s="2" t="s">
        <v>1423</v>
      </c>
      <c r="B343" s="2" t="s">
        <v>336</v>
      </c>
      <c r="C343" s="6" t="n">
        <v>45663</v>
      </c>
      <c r="D343" s="2" t="s">
        <v>39</v>
      </c>
      <c r="E343" s="2" t="s">
        <v>1080</v>
      </c>
      <c r="F343" s="2" t="s">
        <v>1067</v>
      </c>
      <c r="G343" s="2" t="s">
        <v>1085</v>
      </c>
      <c r="H343" s="2" t="s">
        <v>67</v>
      </c>
      <c r="I343" s="2" t="s">
        <v>1072</v>
      </c>
    </row>
    <row r="344" customFormat="false" ht="15" hidden="false" customHeight="false" outlineLevel="0" collapsed="false">
      <c r="A344" s="2" t="s">
        <v>1424</v>
      </c>
      <c r="B344" s="2" t="s">
        <v>667</v>
      </c>
      <c r="C344" s="6" t="n">
        <v>45665</v>
      </c>
      <c r="D344" s="2" t="s">
        <v>39</v>
      </c>
      <c r="E344" s="2" t="s">
        <v>1114</v>
      </c>
      <c r="F344" s="2" t="s">
        <v>1075</v>
      </c>
      <c r="G344" s="2" t="s">
        <v>1068</v>
      </c>
      <c r="H344" s="2" t="s">
        <v>37</v>
      </c>
      <c r="I344" s="2" t="s">
        <v>1093</v>
      </c>
    </row>
    <row r="345" customFormat="false" ht="15" hidden="false" customHeight="false" outlineLevel="0" collapsed="false">
      <c r="A345" s="2" t="s">
        <v>1425</v>
      </c>
      <c r="B345" s="2" t="s">
        <v>411</v>
      </c>
      <c r="C345" s="6" t="n">
        <v>45666</v>
      </c>
      <c r="D345" s="2" t="s">
        <v>39</v>
      </c>
      <c r="E345" s="2" t="s">
        <v>1071</v>
      </c>
      <c r="F345" s="2" t="s">
        <v>1067</v>
      </c>
      <c r="G345" s="2" t="s">
        <v>1068</v>
      </c>
      <c r="H345" s="2" t="s">
        <v>45</v>
      </c>
      <c r="I345" s="2" t="s">
        <v>1069</v>
      </c>
    </row>
    <row r="346" customFormat="false" ht="15" hidden="false" customHeight="false" outlineLevel="0" collapsed="false">
      <c r="A346" s="2" t="s">
        <v>1426</v>
      </c>
      <c r="B346" s="2" t="s">
        <v>511</v>
      </c>
      <c r="C346" s="6" t="n">
        <v>45666</v>
      </c>
      <c r="D346" s="2" t="s">
        <v>39</v>
      </c>
      <c r="E346" s="2" t="s">
        <v>1095</v>
      </c>
      <c r="F346" s="2" t="s">
        <v>1075</v>
      </c>
      <c r="G346" s="2" t="s">
        <v>1068</v>
      </c>
      <c r="H346" s="2" t="s">
        <v>37</v>
      </c>
      <c r="I346" s="2" t="s">
        <v>1069</v>
      </c>
    </row>
    <row r="347" customFormat="false" ht="15" hidden="false" customHeight="false" outlineLevel="0" collapsed="false">
      <c r="A347" s="2" t="s">
        <v>1427</v>
      </c>
      <c r="B347" s="2" t="s">
        <v>621</v>
      </c>
      <c r="C347" s="6" t="n">
        <v>45667</v>
      </c>
      <c r="D347" s="2" t="s">
        <v>39</v>
      </c>
      <c r="E347" s="2" t="s">
        <v>1074</v>
      </c>
      <c r="F347" s="2" t="s">
        <v>1075</v>
      </c>
      <c r="G347" s="2" t="s">
        <v>1068</v>
      </c>
      <c r="H347" s="2" t="s">
        <v>45</v>
      </c>
      <c r="I347" s="2" t="s">
        <v>1072</v>
      </c>
    </row>
    <row r="348" customFormat="false" ht="15" hidden="false" customHeight="false" outlineLevel="0" collapsed="false">
      <c r="A348" s="2" t="s">
        <v>1428</v>
      </c>
      <c r="B348" s="2" t="s">
        <v>702</v>
      </c>
      <c r="C348" s="6" t="n">
        <v>45671</v>
      </c>
      <c r="D348" s="2" t="s">
        <v>39</v>
      </c>
      <c r="E348" s="2" t="s">
        <v>1099</v>
      </c>
      <c r="F348" s="2" t="s">
        <v>1075</v>
      </c>
      <c r="G348" s="2" t="s">
        <v>1068</v>
      </c>
      <c r="H348" s="2" t="s">
        <v>45</v>
      </c>
      <c r="I348" s="2" t="s">
        <v>1069</v>
      </c>
    </row>
    <row r="349" customFormat="false" ht="15" hidden="false" customHeight="false" outlineLevel="0" collapsed="false">
      <c r="A349" s="2" t="s">
        <v>1429</v>
      </c>
      <c r="B349" s="2" t="s">
        <v>29</v>
      </c>
      <c r="C349" s="6" t="n">
        <v>45672</v>
      </c>
      <c r="D349" s="2" t="s">
        <v>39</v>
      </c>
      <c r="E349" s="2" t="s">
        <v>1066</v>
      </c>
      <c r="F349" s="2" t="s">
        <v>1067</v>
      </c>
      <c r="G349" s="2" t="s">
        <v>1068</v>
      </c>
      <c r="H349" s="2" t="s">
        <v>45</v>
      </c>
      <c r="I349" s="2" t="s">
        <v>1069</v>
      </c>
    </row>
    <row r="350" customFormat="false" ht="15" hidden="false" customHeight="false" outlineLevel="0" collapsed="false">
      <c r="A350" s="2" t="s">
        <v>1430</v>
      </c>
      <c r="B350" s="2" t="s">
        <v>775</v>
      </c>
      <c r="C350" s="6" t="n">
        <v>45672</v>
      </c>
      <c r="D350" s="2" t="s">
        <v>39</v>
      </c>
      <c r="E350" s="2" t="s">
        <v>1074</v>
      </c>
      <c r="F350" s="2" t="s">
        <v>1075</v>
      </c>
      <c r="G350" s="2" t="s">
        <v>1068</v>
      </c>
      <c r="H350" s="2" t="s">
        <v>37</v>
      </c>
      <c r="I350" s="2" t="s">
        <v>1069</v>
      </c>
    </row>
    <row r="351" customFormat="false" ht="15" hidden="false" customHeight="false" outlineLevel="0" collapsed="false">
      <c r="A351" s="2" t="s">
        <v>1431</v>
      </c>
      <c r="B351" s="2" t="s">
        <v>621</v>
      </c>
      <c r="C351" s="6" t="n">
        <v>45673</v>
      </c>
      <c r="D351" s="2" t="s">
        <v>39</v>
      </c>
      <c r="E351" s="2" t="s">
        <v>1066</v>
      </c>
      <c r="F351" s="2" t="s">
        <v>1067</v>
      </c>
      <c r="G351" s="2" t="s">
        <v>1068</v>
      </c>
      <c r="H351" s="2" t="s">
        <v>57</v>
      </c>
      <c r="I351" s="2" t="s">
        <v>1069</v>
      </c>
    </row>
    <row r="352" customFormat="false" ht="15" hidden="false" customHeight="false" outlineLevel="0" collapsed="false">
      <c r="A352" s="2" t="s">
        <v>1432</v>
      </c>
      <c r="B352" s="2" t="s">
        <v>832</v>
      </c>
      <c r="C352" s="6" t="n">
        <v>45678</v>
      </c>
      <c r="D352" s="2" t="s">
        <v>39</v>
      </c>
      <c r="E352" s="2" t="s">
        <v>1074</v>
      </c>
      <c r="F352" s="2" t="s">
        <v>1075</v>
      </c>
      <c r="G352" s="2" t="s">
        <v>1068</v>
      </c>
      <c r="H352" s="2" t="s">
        <v>37</v>
      </c>
      <c r="I352" s="2" t="s">
        <v>1069</v>
      </c>
    </row>
    <row r="353" customFormat="false" ht="15" hidden="false" customHeight="false" outlineLevel="0" collapsed="false">
      <c r="A353" s="2" t="s">
        <v>1433</v>
      </c>
      <c r="B353" s="2" t="s">
        <v>281</v>
      </c>
      <c r="C353" s="6" t="n">
        <v>45679</v>
      </c>
      <c r="D353" s="2" t="s">
        <v>39</v>
      </c>
      <c r="E353" s="2" t="s">
        <v>1074</v>
      </c>
      <c r="F353" s="2" t="s">
        <v>1075</v>
      </c>
      <c r="G353" s="2" t="s">
        <v>1068</v>
      </c>
      <c r="H353" s="2" t="s">
        <v>45</v>
      </c>
      <c r="I353" s="2" t="s">
        <v>1069</v>
      </c>
    </row>
    <row r="354" customFormat="false" ht="15" hidden="false" customHeight="false" outlineLevel="0" collapsed="false">
      <c r="A354" s="2" t="s">
        <v>1434</v>
      </c>
      <c r="B354" s="2" t="s">
        <v>844</v>
      </c>
      <c r="C354" s="6" t="n">
        <v>45679</v>
      </c>
      <c r="D354" s="2" t="s">
        <v>39</v>
      </c>
      <c r="E354" s="2" t="s">
        <v>1090</v>
      </c>
      <c r="F354" s="2" t="s">
        <v>1067</v>
      </c>
      <c r="G354" s="2" t="s">
        <v>1068</v>
      </c>
      <c r="H354" s="2" t="s">
        <v>37</v>
      </c>
      <c r="I354" s="2" t="s">
        <v>1072</v>
      </c>
    </row>
    <row r="355" customFormat="false" ht="15" hidden="false" customHeight="false" outlineLevel="0" collapsed="false">
      <c r="A355" s="2" t="s">
        <v>1435</v>
      </c>
      <c r="B355" s="2" t="s">
        <v>483</v>
      </c>
      <c r="C355" s="6" t="n">
        <v>45681</v>
      </c>
      <c r="D355" s="2" t="s">
        <v>39</v>
      </c>
      <c r="E355" s="2" t="s">
        <v>1114</v>
      </c>
      <c r="F355" s="2" t="s">
        <v>1075</v>
      </c>
      <c r="G355" s="2" t="s">
        <v>1068</v>
      </c>
      <c r="H355" s="2" t="s">
        <v>37</v>
      </c>
      <c r="I355" s="2" t="s">
        <v>1069</v>
      </c>
    </row>
    <row r="356" customFormat="false" ht="15" hidden="false" customHeight="false" outlineLevel="0" collapsed="false">
      <c r="A356" s="2" t="s">
        <v>1436</v>
      </c>
      <c r="B356" s="2" t="s">
        <v>532</v>
      </c>
      <c r="C356" s="6" t="n">
        <v>45685</v>
      </c>
      <c r="D356" s="2" t="s">
        <v>39</v>
      </c>
      <c r="E356" s="2" t="s">
        <v>1080</v>
      </c>
      <c r="F356" s="2" t="s">
        <v>1067</v>
      </c>
      <c r="G356" s="2" t="s">
        <v>1068</v>
      </c>
      <c r="H356" s="2" t="s">
        <v>57</v>
      </c>
      <c r="I356" s="2" t="s">
        <v>1072</v>
      </c>
    </row>
    <row r="357" customFormat="false" ht="15" hidden="false" customHeight="false" outlineLevel="0" collapsed="false">
      <c r="A357" s="2" t="s">
        <v>1437</v>
      </c>
      <c r="B357" s="2" t="s">
        <v>695</v>
      </c>
      <c r="C357" s="6" t="n">
        <v>45685</v>
      </c>
      <c r="D357" s="2" t="s">
        <v>39</v>
      </c>
      <c r="E357" s="2" t="s">
        <v>1071</v>
      </c>
      <c r="F357" s="2" t="s">
        <v>1067</v>
      </c>
      <c r="G357" s="2" t="s">
        <v>1068</v>
      </c>
      <c r="H357" s="2" t="s">
        <v>45</v>
      </c>
      <c r="I357" s="2" t="s">
        <v>1069</v>
      </c>
    </row>
    <row r="358" customFormat="false" ht="15" hidden="false" customHeight="false" outlineLevel="0" collapsed="false">
      <c r="A358" s="2" t="s">
        <v>1438</v>
      </c>
      <c r="B358" s="2" t="s">
        <v>675</v>
      </c>
      <c r="C358" s="6" t="n">
        <v>45687</v>
      </c>
      <c r="D358" s="2" t="s">
        <v>39</v>
      </c>
      <c r="E358" s="2" t="s">
        <v>1114</v>
      </c>
      <c r="F358" s="2" t="s">
        <v>1075</v>
      </c>
      <c r="G358" s="2" t="s">
        <v>1068</v>
      </c>
      <c r="H358" s="2" t="s">
        <v>57</v>
      </c>
      <c r="I358" s="2" t="s">
        <v>1069</v>
      </c>
    </row>
    <row r="359" customFormat="false" ht="15" hidden="false" customHeight="false" outlineLevel="0" collapsed="false">
      <c r="A359" s="2" t="s">
        <v>1439</v>
      </c>
      <c r="B359" s="2" t="s">
        <v>928</v>
      </c>
      <c r="C359" s="6" t="n">
        <v>45692</v>
      </c>
      <c r="D359" s="2" t="s">
        <v>39</v>
      </c>
      <c r="E359" s="2" t="s">
        <v>1099</v>
      </c>
      <c r="F359" s="2" t="s">
        <v>1075</v>
      </c>
      <c r="G359" s="2" t="s">
        <v>1068</v>
      </c>
      <c r="H359" s="2" t="s">
        <v>45</v>
      </c>
      <c r="I359" s="2" t="s">
        <v>1069</v>
      </c>
    </row>
    <row r="360" customFormat="false" ht="15" hidden="false" customHeight="false" outlineLevel="0" collapsed="false">
      <c r="A360" s="2" t="s">
        <v>1440</v>
      </c>
      <c r="B360" s="2" t="s">
        <v>92</v>
      </c>
      <c r="C360" s="6" t="n">
        <v>45693</v>
      </c>
      <c r="D360" s="2" t="s">
        <v>39</v>
      </c>
      <c r="E360" s="2" t="s">
        <v>1066</v>
      </c>
      <c r="F360" s="2" t="s">
        <v>1067</v>
      </c>
      <c r="G360" s="2" t="s">
        <v>1068</v>
      </c>
      <c r="H360" s="2" t="s">
        <v>57</v>
      </c>
      <c r="I360" s="2" t="s">
        <v>1069</v>
      </c>
    </row>
    <row r="361" customFormat="false" ht="15" hidden="false" customHeight="false" outlineLevel="0" collapsed="false">
      <c r="A361" s="2" t="s">
        <v>1441</v>
      </c>
      <c r="B361" s="2" t="s">
        <v>404</v>
      </c>
      <c r="C361" s="6" t="n">
        <v>45694</v>
      </c>
      <c r="D361" s="2" t="s">
        <v>39</v>
      </c>
      <c r="E361" s="2" t="s">
        <v>1080</v>
      </c>
      <c r="F361" s="2" t="s">
        <v>1067</v>
      </c>
      <c r="G361" s="2" t="s">
        <v>1068</v>
      </c>
      <c r="H361" s="2" t="s">
        <v>45</v>
      </c>
      <c r="I361" s="2" t="s">
        <v>1072</v>
      </c>
    </row>
    <row r="362" customFormat="false" ht="15" hidden="false" customHeight="false" outlineLevel="0" collapsed="false">
      <c r="A362" s="2" t="s">
        <v>1442</v>
      </c>
      <c r="B362" s="2" t="s">
        <v>914</v>
      </c>
      <c r="C362" s="6" t="n">
        <v>45699</v>
      </c>
      <c r="D362" s="2" t="s">
        <v>39</v>
      </c>
      <c r="E362" s="2" t="s">
        <v>1080</v>
      </c>
      <c r="F362" s="2" t="s">
        <v>1067</v>
      </c>
      <c r="G362" s="2" t="s">
        <v>1068</v>
      </c>
      <c r="H362" s="2" t="s">
        <v>45</v>
      </c>
      <c r="I362" s="2" t="s">
        <v>1072</v>
      </c>
    </row>
    <row r="363" customFormat="false" ht="15" hidden="false" customHeight="false" outlineLevel="0" collapsed="false">
      <c r="A363" s="2" t="s">
        <v>1443</v>
      </c>
      <c r="B363" s="2" t="s">
        <v>404</v>
      </c>
      <c r="C363" s="6" t="n">
        <v>45700</v>
      </c>
      <c r="D363" s="2" t="s">
        <v>39</v>
      </c>
      <c r="E363" s="2" t="s">
        <v>1099</v>
      </c>
      <c r="F363" s="2" t="s">
        <v>1075</v>
      </c>
      <c r="G363" s="2" t="s">
        <v>1068</v>
      </c>
      <c r="H363" s="2" t="s">
        <v>37</v>
      </c>
      <c r="I363" s="2" t="s">
        <v>1069</v>
      </c>
    </row>
    <row r="364" customFormat="false" ht="15" hidden="false" customHeight="false" outlineLevel="0" collapsed="false">
      <c r="A364" s="2" t="s">
        <v>1444</v>
      </c>
      <c r="B364" s="2" t="s">
        <v>411</v>
      </c>
      <c r="C364" s="6" t="n">
        <v>45700</v>
      </c>
      <c r="D364" s="2" t="s">
        <v>39</v>
      </c>
      <c r="E364" s="2" t="s">
        <v>1074</v>
      </c>
      <c r="F364" s="2" t="s">
        <v>1075</v>
      </c>
      <c r="G364" s="2" t="s">
        <v>1068</v>
      </c>
      <c r="H364" s="2" t="s">
        <v>45</v>
      </c>
      <c r="I364" s="2" t="s">
        <v>1072</v>
      </c>
    </row>
    <row r="365" customFormat="false" ht="15" hidden="false" customHeight="false" outlineLevel="0" collapsed="false">
      <c r="A365" s="2" t="s">
        <v>1445</v>
      </c>
      <c r="B365" s="2" t="s">
        <v>778</v>
      </c>
      <c r="C365" s="6" t="n">
        <v>45700</v>
      </c>
      <c r="D365" s="2" t="s">
        <v>39</v>
      </c>
      <c r="E365" s="2" t="s">
        <v>1074</v>
      </c>
      <c r="F365" s="2" t="s">
        <v>1075</v>
      </c>
      <c r="G365" s="2" t="s">
        <v>1068</v>
      </c>
      <c r="H365" s="2" t="s">
        <v>37</v>
      </c>
      <c r="I365" s="2" t="s">
        <v>1069</v>
      </c>
    </row>
    <row r="366" customFormat="false" ht="15" hidden="false" customHeight="false" outlineLevel="0" collapsed="false">
      <c r="A366" s="2" t="s">
        <v>1446</v>
      </c>
      <c r="B366" s="2" t="s">
        <v>931</v>
      </c>
      <c r="C366" s="6" t="n">
        <v>45700</v>
      </c>
      <c r="D366" s="2" t="s">
        <v>39</v>
      </c>
      <c r="E366" s="2" t="s">
        <v>1066</v>
      </c>
      <c r="F366" s="2" t="s">
        <v>1067</v>
      </c>
      <c r="G366" s="2" t="s">
        <v>1068</v>
      </c>
      <c r="H366" s="2" t="s">
        <v>45</v>
      </c>
      <c r="I366" s="2" t="s">
        <v>1093</v>
      </c>
    </row>
    <row r="367" customFormat="false" ht="15" hidden="false" customHeight="false" outlineLevel="0" collapsed="false">
      <c r="A367" s="2" t="s">
        <v>1447</v>
      </c>
      <c r="B367" s="2" t="s">
        <v>411</v>
      </c>
      <c r="C367" s="6" t="n">
        <v>45702</v>
      </c>
      <c r="D367" s="2" t="s">
        <v>39</v>
      </c>
      <c r="E367" s="2" t="s">
        <v>1095</v>
      </c>
      <c r="F367" s="2" t="s">
        <v>1075</v>
      </c>
      <c r="G367" s="2" t="s">
        <v>1068</v>
      </c>
      <c r="H367" s="2" t="s">
        <v>57</v>
      </c>
      <c r="I367" s="2" t="s">
        <v>1072</v>
      </c>
    </row>
    <row r="368" customFormat="false" ht="15" hidden="false" customHeight="false" outlineLevel="0" collapsed="false">
      <c r="A368" s="2" t="s">
        <v>1448</v>
      </c>
      <c r="B368" s="2" t="s">
        <v>471</v>
      </c>
      <c r="C368" s="6" t="n">
        <v>45706</v>
      </c>
      <c r="D368" s="2" t="s">
        <v>39</v>
      </c>
      <c r="E368" s="2" t="s">
        <v>1066</v>
      </c>
      <c r="F368" s="2" t="s">
        <v>1067</v>
      </c>
      <c r="G368" s="2" t="s">
        <v>1068</v>
      </c>
      <c r="H368" s="2" t="s">
        <v>45</v>
      </c>
      <c r="I368" s="2" t="s">
        <v>1093</v>
      </c>
    </row>
    <row r="369" customFormat="false" ht="15" hidden="false" customHeight="false" outlineLevel="0" collapsed="false">
      <c r="A369" s="2" t="s">
        <v>1449</v>
      </c>
      <c r="B369" s="2" t="s">
        <v>504</v>
      </c>
      <c r="C369" s="6" t="n">
        <v>45706</v>
      </c>
      <c r="D369" s="2" t="s">
        <v>39</v>
      </c>
      <c r="E369" s="2" t="s">
        <v>1101</v>
      </c>
      <c r="F369" s="2" t="s">
        <v>1067</v>
      </c>
      <c r="G369" s="2" t="s">
        <v>1068</v>
      </c>
      <c r="H369" s="2" t="s">
        <v>57</v>
      </c>
      <c r="I369" s="2" t="s">
        <v>1069</v>
      </c>
    </row>
    <row r="370" customFormat="false" ht="15" hidden="false" customHeight="false" outlineLevel="0" collapsed="false">
      <c r="A370" s="2" t="s">
        <v>1450</v>
      </c>
      <c r="B370" s="2" t="s">
        <v>714</v>
      </c>
      <c r="C370" s="6" t="n">
        <v>45706</v>
      </c>
      <c r="D370" s="2" t="s">
        <v>39</v>
      </c>
      <c r="E370" s="2" t="s">
        <v>1066</v>
      </c>
      <c r="F370" s="2" t="s">
        <v>1067</v>
      </c>
      <c r="G370" s="2" t="s">
        <v>1068</v>
      </c>
      <c r="H370" s="2" t="s">
        <v>45</v>
      </c>
      <c r="I370" s="2" t="s">
        <v>1069</v>
      </c>
    </row>
    <row r="371" customFormat="false" ht="15" hidden="false" customHeight="false" outlineLevel="0" collapsed="false">
      <c r="A371" s="2" t="s">
        <v>1451</v>
      </c>
      <c r="B371" s="2" t="s">
        <v>882</v>
      </c>
      <c r="C371" s="6" t="n">
        <v>45706</v>
      </c>
      <c r="D371" s="2" t="s">
        <v>39</v>
      </c>
      <c r="E371" s="2" t="s">
        <v>1080</v>
      </c>
      <c r="F371" s="2" t="s">
        <v>1067</v>
      </c>
      <c r="G371" s="2" t="s">
        <v>1068</v>
      </c>
      <c r="H371" s="2" t="s">
        <v>37</v>
      </c>
      <c r="I371" s="2" t="s">
        <v>1069</v>
      </c>
    </row>
    <row r="372" customFormat="false" ht="15" hidden="false" customHeight="false" outlineLevel="0" collapsed="false">
      <c r="A372" s="2" t="s">
        <v>1452</v>
      </c>
      <c r="B372" s="2" t="s">
        <v>867</v>
      </c>
      <c r="C372" s="6" t="n">
        <v>45707</v>
      </c>
      <c r="D372" s="2" t="s">
        <v>39</v>
      </c>
      <c r="E372" s="2" t="s">
        <v>1071</v>
      </c>
      <c r="F372" s="2" t="s">
        <v>1067</v>
      </c>
      <c r="G372" s="2" t="s">
        <v>1085</v>
      </c>
      <c r="H372" s="2" t="s">
        <v>67</v>
      </c>
      <c r="I372" s="2" t="s">
        <v>1072</v>
      </c>
    </row>
    <row r="373" customFormat="false" ht="15" hidden="false" customHeight="false" outlineLevel="0" collapsed="false">
      <c r="A373" s="2" t="s">
        <v>1453</v>
      </c>
      <c r="B373" s="2" t="s">
        <v>536</v>
      </c>
      <c r="C373" s="6" t="n">
        <v>45708</v>
      </c>
      <c r="D373" s="2" t="s">
        <v>39</v>
      </c>
      <c r="E373" s="2" t="s">
        <v>1071</v>
      </c>
      <c r="F373" s="2" t="s">
        <v>1067</v>
      </c>
      <c r="G373" s="2" t="s">
        <v>1068</v>
      </c>
      <c r="H373" s="2" t="s">
        <v>37</v>
      </c>
      <c r="I373" s="2" t="s">
        <v>1069</v>
      </c>
    </row>
    <row r="374" customFormat="false" ht="15" hidden="false" customHeight="false" outlineLevel="0" collapsed="false">
      <c r="A374" s="2" t="s">
        <v>1454</v>
      </c>
      <c r="B374" s="2" t="s">
        <v>781</v>
      </c>
      <c r="C374" s="6" t="n">
        <v>45713</v>
      </c>
      <c r="D374" s="2" t="s">
        <v>39</v>
      </c>
      <c r="E374" s="2" t="s">
        <v>1080</v>
      </c>
      <c r="F374" s="2" t="s">
        <v>1067</v>
      </c>
      <c r="G374" s="2" t="s">
        <v>1068</v>
      </c>
      <c r="H374" s="2" t="s">
        <v>37</v>
      </c>
      <c r="I374" s="2" t="s">
        <v>1069</v>
      </c>
    </row>
    <row r="375" customFormat="false" ht="15" hidden="false" customHeight="false" outlineLevel="0" collapsed="false">
      <c r="A375" s="2" t="s">
        <v>1455</v>
      </c>
      <c r="B375" s="2" t="s">
        <v>143</v>
      </c>
      <c r="C375" s="6" t="n">
        <v>45715</v>
      </c>
      <c r="D375" s="2" t="s">
        <v>39</v>
      </c>
      <c r="E375" s="2" t="s">
        <v>1099</v>
      </c>
      <c r="F375" s="2" t="s">
        <v>1075</v>
      </c>
      <c r="G375" s="2" t="s">
        <v>1068</v>
      </c>
      <c r="H375" s="2" t="s">
        <v>37</v>
      </c>
      <c r="I375" s="2" t="s">
        <v>1072</v>
      </c>
    </row>
    <row r="376" customFormat="false" ht="15" hidden="false" customHeight="false" outlineLevel="0" collapsed="false">
      <c r="A376" s="2" t="s">
        <v>1456</v>
      </c>
      <c r="B376" s="2" t="s">
        <v>542</v>
      </c>
      <c r="C376" s="6" t="n">
        <v>45716</v>
      </c>
      <c r="D376" s="2" t="s">
        <v>39</v>
      </c>
      <c r="E376" s="2" t="s">
        <v>1074</v>
      </c>
      <c r="F376" s="2" t="s">
        <v>1075</v>
      </c>
      <c r="G376" s="2" t="s">
        <v>1068</v>
      </c>
      <c r="H376" s="2" t="s">
        <v>45</v>
      </c>
      <c r="I376" s="2" t="s">
        <v>1069</v>
      </c>
    </row>
    <row r="377" customFormat="false" ht="15" hidden="false" customHeight="false" outlineLevel="0" collapsed="false">
      <c r="A377" s="2" t="s">
        <v>1457</v>
      </c>
      <c r="B377" s="2" t="s">
        <v>511</v>
      </c>
      <c r="C377" s="6" t="n">
        <v>45721</v>
      </c>
      <c r="D377" s="2" t="s">
        <v>39</v>
      </c>
      <c r="E377" s="2" t="s">
        <v>1090</v>
      </c>
      <c r="F377" s="2" t="s">
        <v>1067</v>
      </c>
      <c r="G377" s="2" t="s">
        <v>1068</v>
      </c>
      <c r="H377" s="2" t="s">
        <v>45</v>
      </c>
      <c r="I377" s="2" t="s">
        <v>1072</v>
      </c>
    </row>
    <row r="378" customFormat="false" ht="15" hidden="false" customHeight="false" outlineLevel="0" collapsed="false">
      <c r="A378" s="2" t="s">
        <v>1458</v>
      </c>
      <c r="B378" s="2" t="s">
        <v>59</v>
      </c>
      <c r="C378" s="6" t="n">
        <v>45723</v>
      </c>
      <c r="D378" s="2" t="s">
        <v>39</v>
      </c>
      <c r="E378" s="2" t="s">
        <v>1095</v>
      </c>
      <c r="F378" s="2" t="s">
        <v>1075</v>
      </c>
      <c r="G378" s="2" t="s">
        <v>1068</v>
      </c>
      <c r="H378" s="2" t="s">
        <v>45</v>
      </c>
      <c r="I378" s="2" t="s">
        <v>1069</v>
      </c>
    </row>
    <row r="379" customFormat="false" ht="15" hidden="false" customHeight="false" outlineLevel="0" collapsed="false">
      <c r="A379" s="2" t="s">
        <v>1459</v>
      </c>
      <c r="B379" s="2" t="s">
        <v>762</v>
      </c>
      <c r="C379" s="6" t="n">
        <v>45723</v>
      </c>
      <c r="D379" s="2" t="s">
        <v>39</v>
      </c>
      <c r="E379" s="2" t="s">
        <v>1071</v>
      </c>
      <c r="F379" s="2" t="s">
        <v>1067</v>
      </c>
      <c r="G379" s="2" t="s">
        <v>1068</v>
      </c>
      <c r="H379" s="2" t="s">
        <v>37</v>
      </c>
      <c r="I379" s="2" t="s">
        <v>1072</v>
      </c>
    </row>
    <row r="380" customFormat="false" ht="15" hidden="false" customHeight="false" outlineLevel="0" collapsed="false">
      <c r="A380" s="2" t="s">
        <v>1460</v>
      </c>
      <c r="B380" s="2" t="s">
        <v>928</v>
      </c>
      <c r="C380" s="6" t="n">
        <v>45723</v>
      </c>
      <c r="D380" s="2" t="s">
        <v>39</v>
      </c>
      <c r="E380" s="2" t="s">
        <v>1099</v>
      </c>
      <c r="F380" s="2" t="s">
        <v>1075</v>
      </c>
      <c r="G380" s="2" t="s">
        <v>1068</v>
      </c>
      <c r="H380" s="2" t="s">
        <v>37</v>
      </c>
      <c r="I380" s="2" t="s">
        <v>1072</v>
      </c>
    </row>
    <row r="381" customFormat="false" ht="15" hidden="false" customHeight="false" outlineLevel="0" collapsed="false">
      <c r="A381" s="2" t="s">
        <v>1461</v>
      </c>
      <c r="B381" s="2" t="s">
        <v>429</v>
      </c>
      <c r="C381" s="6" t="n">
        <v>45726</v>
      </c>
      <c r="D381" s="2" t="s">
        <v>39</v>
      </c>
      <c r="E381" s="2" t="s">
        <v>1090</v>
      </c>
      <c r="F381" s="2" t="s">
        <v>1067</v>
      </c>
      <c r="G381" s="2" t="s">
        <v>1068</v>
      </c>
      <c r="H381" s="2" t="s">
        <v>45</v>
      </c>
      <c r="I381" s="2" t="s">
        <v>1069</v>
      </c>
    </row>
    <row r="382" customFormat="false" ht="15" hidden="false" customHeight="false" outlineLevel="0" collapsed="false">
      <c r="A382" s="2" t="s">
        <v>1462</v>
      </c>
      <c r="B382" s="2" t="s">
        <v>856</v>
      </c>
      <c r="C382" s="6" t="n">
        <v>45726</v>
      </c>
      <c r="D382" s="2" t="s">
        <v>39</v>
      </c>
      <c r="E382" s="2" t="s">
        <v>1101</v>
      </c>
      <c r="F382" s="2" t="s">
        <v>1067</v>
      </c>
      <c r="G382" s="2" t="s">
        <v>1068</v>
      </c>
      <c r="H382" s="2" t="s">
        <v>37</v>
      </c>
      <c r="I382" s="2" t="s">
        <v>1072</v>
      </c>
    </row>
    <row r="383" customFormat="false" ht="15" hidden="false" customHeight="false" outlineLevel="0" collapsed="false">
      <c r="A383" s="2" t="s">
        <v>1463</v>
      </c>
      <c r="B383" s="2" t="s">
        <v>864</v>
      </c>
      <c r="C383" s="6" t="n">
        <v>45727</v>
      </c>
      <c r="D383" s="2" t="s">
        <v>39</v>
      </c>
      <c r="E383" s="2" t="s">
        <v>1090</v>
      </c>
      <c r="F383" s="2" t="s">
        <v>1067</v>
      </c>
      <c r="G383" s="2" t="s">
        <v>1085</v>
      </c>
      <c r="H383" s="2" t="s">
        <v>67</v>
      </c>
      <c r="I383" s="2" t="s">
        <v>1072</v>
      </c>
    </row>
    <row r="384" customFormat="false" ht="15" hidden="false" customHeight="false" outlineLevel="0" collapsed="false">
      <c r="A384" s="2" t="s">
        <v>1464</v>
      </c>
      <c r="B384" s="2" t="s">
        <v>182</v>
      </c>
      <c r="C384" s="6" t="n">
        <v>45729</v>
      </c>
      <c r="D384" s="2" t="s">
        <v>39</v>
      </c>
      <c r="E384" s="2" t="s">
        <v>1080</v>
      </c>
      <c r="F384" s="2" t="s">
        <v>1067</v>
      </c>
      <c r="G384" s="2" t="s">
        <v>1068</v>
      </c>
      <c r="H384" s="2" t="s">
        <v>37</v>
      </c>
      <c r="I384" s="2" t="s">
        <v>1072</v>
      </c>
    </row>
    <row r="385" customFormat="false" ht="15" hidden="false" customHeight="false" outlineLevel="0" collapsed="false">
      <c r="A385" s="2" t="s">
        <v>1465</v>
      </c>
      <c r="B385" s="2" t="s">
        <v>864</v>
      </c>
      <c r="C385" s="6" t="n">
        <v>45733</v>
      </c>
      <c r="D385" s="2" t="s">
        <v>39</v>
      </c>
      <c r="E385" s="2" t="s">
        <v>1099</v>
      </c>
      <c r="F385" s="2" t="s">
        <v>1075</v>
      </c>
      <c r="G385" s="2" t="s">
        <v>1068</v>
      </c>
      <c r="H385" s="2" t="s">
        <v>45</v>
      </c>
      <c r="I385" s="2" t="s">
        <v>1069</v>
      </c>
    </row>
    <row r="386" customFormat="false" ht="15" hidden="false" customHeight="false" outlineLevel="0" collapsed="false">
      <c r="A386" s="2" t="s">
        <v>1466</v>
      </c>
      <c r="B386" s="2" t="s">
        <v>139</v>
      </c>
      <c r="C386" s="6" t="n">
        <v>45734</v>
      </c>
      <c r="D386" s="2" t="s">
        <v>39</v>
      </c>
      <c r="E386" s="2" t="s">
        <v>1114</v>
      </c>
      <c r="F386" s="2" t="s">
        <v>1075</v>
      </c>
      <c r="G386" s="2" t="s">
        <v>1068</v>
      </c>
      <c r="H386" s="2" t="s">
        <v>45</v>
      </c>
      <c r="I386" s="2" t="s">
        <v>1072</v>
      </c>
    </row>
    <row r="387" customFormat="false" ht="15" hidden="false" customHeight="false" outlineLevel="0" collapsed="false">
      <c r="A387" s="2" t="s">
        <v>1467</v>
      </c>
      <c r="B387" s="2" t="s">
        <v>411</v>
      </c>
      <c r="C387" s="6" t="n">
        <v>45737</v>
      </c>
      <c r="D387" s="2" t="s">
        <v>39</v>
      </c>
      <c r="E387" s="2" t="s">
        <v>1099</v>
      </c>
      <c r="F387" s="2" t="s">
        <v>1075</v>
      </c>
      <c r="G387" s="2" t="s">
        <v>1068</v>
      </c>
      <c r="H387" s="2" t="s">
        <v>45</v>
      </c>
      <c r="I387" s="2" t="s">
        <v>1069</v>
      </c>
    </row>
    <row r="388" customFormat="false" ht="15" hidden="false" customHeight="false" outlineLevel="0" collapsed="false">
      <c r="A388" s="2" t="s">
        <v>1468</v>
      </c>
      <c r="B388" s="2" t="s">
        <v>258</v>
      </c>
      <c r="C388" s="6" t="n">
        <v>45740</v>
      </c>
      <c r="D388" s="2" t="s">
        <v>39</v>
      </c>
      <c r="E388" s="2" t="s">
        <v>1114</v>
      </c>
      <c r="F388" s="2" t="s">
        <v>1075</v>
      </c>
      <c r="G388" s="2" t="s">
        <v>1068</v>
      </c>
      <c r="H388" s="2" t="s">
        <v>45</v>
      </c>
      <c r="I388" s="2" t="s">
        <v>1072</v>
      </c>
    </row>
    <row r="389" customFormat="false" ht="15" hidden="false" customHeight="false" outlineLevel="0" collapsed="false">
      <c r="A389" s="2" t="s">
        <v>1469</v>
      </c>
      <c r="B389" s="2" t="s">
        <v>805</v>
      </c>
      <c r="C389" s="6" t="n">
        <v>45740</v>
      </c>
      <c r="D389" s="2" t="s">
        <v>39</v>
      </c>
      <c r="E389" s="2" t="s">
        <v>1090</v>
      </c>
      <c r="F389" s="2" t="s">
        <v>1067</v>
      </c>
      <c r="G389" s="2" t="s">
        <v>1085</v>
      </c>
      <c r="H389" s="2" t="s">
        <v>67</v>
      </c>
      <c r="I389" s="2" t="s">
        <v>1072</v>
      </c>
    </row>
    <row r="390" customFormat="false" ht="15" hidden="false" customHeight="false" outlineLevel="0" collapsed="false">
      <c r="A390" s="2" t="s">
        <v>1470</v>
      </c>
      <c r="B390" s="2" t="s">
        <v>751</v>
      </c>
      <c r="C390" s="6" t="n">
        <v>45742</v>
      </c>
      <c r="D390" s="2" t="s">
        <v>39</v>
      </c>
      <c r="E390" s="2" t="s">
        <v>1080</v>
      </c>
      <c r="F390" s="2" t="s">
        <v>1067</v>
      </c>
      <c r="G390" s="2" t="s">
        <v>1068</v>
      </c>
      <c r="H390" s="2" t="s">
        <v>45</v>
      </c>
      <c r="I390" s="2" t="s">
        <v>1072</v>
      </c>
    </row>
    <row r="391" customFormat="false" ht="15" hidden="false" customHeight="false" outlineLevel="0" collapsed="false">
      <c r="A391" s="2" t="s">
        <v>1471</v>
      </c>
      <c r="B391" s="2" t="s">
        <v>873</v>
      </c>
      <c r="C391" s="6" t="n">
        <v>45743</v>
      </c>
      <c r="D391" s="2" t="s">
        <v>39</v>
      </c>
      <c r="E391" s="2" t="s">
        <v>1101</v>
      </c>
      <c r="F391" s="2" t="s">
        <v>1067</v>
      </c>
      <c r="G391" s="2" t="s">
        <v>1068</v>
      </c>
      <c r="H391" s="2" t="s">
        <v>45</v>
      </c>
      <c r="I391" s="2" t="s">
        <v>1072</v>
      </c>
    </row>
    <row r="392" customFormat="false" ht="15" hidden="false" customHeight="false" outlineLevel="0" collapsed="false">
      <c r="A392" s="2" t="s">
        <v>1472</v>
      </c>
      <c r="B392" s="2" t="s">
        <v>401</v>
      </c>
      <c r="C392" s="6" t="n">
        <v>45744</v>
      </c>
      <c r="D392" s="2" t="s">
        <v>39</v>
      </c>
      <c r="E392" s="2" t="s">
        <v>1114</v>
      </c>
      <c r="F392" s="2" t="s">
        <v>1075</v>
      </c>
      <c r="G392" s="2" t="s">
        <v>1068</v>
      </c>
      <c r="H392" s="2" t="s">
        <v>45</v>
      </c>
      <c r="I392" s="2" t="s">
        <v>1069</v>
      </c>
    </row>
    <row r="393" customFormat="false" ht="15" hidden="false" customHeight="false" outlineLevel="0" collapsed="false">
      <c r="A393" s="2" t="s">
        <v>1473</v>
      </c>
      <c r="B393" s="2" t="s">
        <v>702</v>
      </c>
      <c r="C393" s="6" t="n">
        <v>45744</v>
      </c>
      <c r="D393" s="2" t="s">
        <v>39</v>
      </c>
      <c r="E393" s="2" t="s">
        <v>1080</v>
      </c>
      <c r="F393" s="2" t="s">
        <v>1067</v>
      </c>
      <c r="G393" s="2" t="s">
        <v>1068</v>
      </c>
      <c r="H393" s="2" t="s">
        <v>37</v>
      </c>
      <c r="I393" s="2" t="s">
        <v>1072</v>
      </c>
    </row>
    <row r="394" customFormat="false" ht="15" hidden="false" customHeight="false" outlineLevel="0" collapsed="false">
      <c r="A394" s="2" t="s">
        <v>1474</v>
      </c>
      <c r="B394" s="2" t="s">
        <v>778</v>
      </c>
      <c r="C394" s="6" t="n">
        <v>45744</v>
      </c>
      <c r="D394" s="2" t="s">
        <v>39</v>
      </c>
      <c r="E394" s="2" t="s">
        <v>1095</v>
      </c>
      <c r="F394" s="2" t="s">
        <v>1075</v>
      </c>
      <c r="G394" s="2" t="s">
        <v>1068</v>
      </c>
      <c r="H394" s="2" t="s">
        <v>37</v>
      </c>
      <c r="I394" s="2" t="s">
        <v>1069</v>
      </c>
    </row>
    <row r="395" customFormat="false" ht="15" hidden="false" customHeight="false" outlineLevel="0" collapsed="false">
      <c r="A395" s="2" t="s">
        <v>1475</v>
      </c>
      <c r="B395" s="2" t="s">
        <v>177</v>
      </c>
      <c r="C395" s="6" t="n">
        <v>45749</v>
      </c>
      <c r="D395" s="2" t="s">
        <v>39</v>
      </c>
      <c r="E395" s="2" t="s">
        <v>1071</v>
      </c>
      <c r="F395" s="2" t="s">
        <v>1067</v>
      </c>
      <c r="G395" s="2" t="s">
        <v>1068</v>
      </c>
      <c r="H395" s="2" t="s">
        <v>45</v>
      </c>
      <c r="I395" s="2" t="s">
        <v>1069</v>
      </c>
    </row>
    <row r="396" customFormat="false" ht="15" hidden="false" customHeight="false" outlineLevel="0" collapsed="false">
      <c r="A396" s="2" t="s">
        <v>1476</v>
      </c>
      <c r="B396" s="2" t="s">
        <v>937</v>
      </c>
      <c r="C396" s="6" t="n">
        <v>45749</v>
      </c>
      <c r="D396" s="2" t="s">
        <v>39</v>
      </c>
      <c r="E396" s="2" t="s">
        <v>1090</v>
      </c>
      <c r="F396" s="2" t="s">
        <v>1067</v>
      </c>
      <c r="G396" s="2" t="s">
        <v>1068</v>
      </c>
      <c r="H396" s="2" t="s">
        <v>37</v>
      </c>
      <c r="I396" s="2" t="s">
        <v>1069</v>
      </c>
    </row>
    <row r="397" customFormat="false" ht="15" hidden="false" customHeight="false" outlineLevel="0" collapsed="false">
      <c r="A397" s="2" t="s">
        <v>1477</v>
      </c>
      <c r="B397" s="2" t="s">
        <v>318</v>
      </c>
      <c r="C397" s="6" t="n">
        <v>45755</v>
      </c>
      <c r="D397" s="2" t="s">
        <v>39</v>
      </c>
      <c r="E397" s="2" t="s">
        <v>1080</v>
      </c>
      <c r="F397" s="2" t="s">
        <v>1067</v>
      </c>
      <c r="G397" s="2" t="s">
        <v>1068</v>
      </c>
      <c r="H397" s="2" t="s">
        <v>45</v>
      </c>
      <c r="I397" s="2" t="s">
        <v>1069</v>
      </c>
    </row>
    <row r="398" customFormat="false" ht="15" hidden="false" customHeight="false" outlineLevel="0" collapsed="false">
      <c r="A398" s="2" t="s">
        <v>1478</v>
      </c>
      <c r="B398" s="2" t="s">
        <v>778</v>
      </c>
      <c r="C398" s="6" t="n">
        <v>45762</v>
      </c>
      <c r="D398" s="2" t="s">
        <v>39</v>
      </c>
      <c r="E398" s="2" t="s">
        <v>1078</v>
      </c>
      <c r="F398" s="2" t="s">
        <v>1075</v>
      </c>
      <c r="G398" s="2" t="s">
        <v>1068</v>
      </c>
      <c r="H398" s="2" t="s">
        <v>45</v>
      </c>
      <c r="I398" s="2" t="s">
        <v>1093</v>
      </c>
    </row>
    <row r="399" customFormat="false" ht="15" hidden="false" customHeight="false" outlineLevel="0" collapsed="false">
      <c r="A399" s="2" t="s">
        <v>1479</v>
      </c>
      <c r="B399" s="2" t="s">
        <v>608</v>
      </c>
      <c r="C399" s="6" t="n">
        <v>45764</v>
      </c>
      <c r="D399" s="2" t="s">
        <v>39</v>
      </c>
      <c r="E399" s="2" t="s">
        <v>1101</v>
      </c>
      <c r="F399" s="2" t="s">
        <v>1067</v>
      </c>
      <c r="G399" s="2" t="s">
        <v>1085</v>
      </c>
      <c r="H399" s="2" t="s">
        <v>67</v>
      </c>
      <c r="I399" s="2" t="s">
        <v>1069</v>
      </c>
    </row>
    <row r="400" customFormat="false" ht="15" hidden="false" customHeight="false" outlineLevel="0" collapsed="false">
      <c r="A400" s="2" t="s">
        <v>1480</v>
      </c>
      <c r="B400" s="2" t="s">
        <v>123</v>
      </c>
      <c r="C400" s="6" t="n">
        <v>45768</v>
      </c>
      <c r="D400" s="2" t="s">
        <v>39</v>
      </c>
      <c r="E400" s="2" t="s">
        <v>1101</v>
      </c>
      <c r="F400" s="2" t="s">
        <v>1067</v>
      </c>
      <c r="G400" s="2" t="s">
        <v>1068</v>
      </c>
      <c r="H400" s="2" t="s">
        <v>45</v>
      </c>
      <c r="I400" s="2" t="s">
        <v>1072</v>
      </c>
    </row>
    <row r="401" customFormat="false" ht="15" hidden="false" customHeight="false" outlineLevel="0" collapsed="false">
      <c r="A401" s="2" t="s">
        <v>1481</v>
      </c>
      <c r="B401" s="2" t="s">
        <v>695</v>
      </c>
      <c r="C401" s="6" t="n">
        <v>45768</v>
      </c>
      <c r="D401" s="2" t="s">
        <v>39</v>
      </c>
      <c r="E401" s="2" t="s">
        <v>1078</v>
      </c>
      <c r="F401" s="2" t="s">
        <v>1075</v>
      </c>
      <c r="G401" s="2" t="s">
        <v>1068</v>
      </c>
      <c r="H401" s="2" t="s">
        <v>45</v>
      </c>
      <c r="I401" s="2" t="s">
        <v>1072</v>
      </c>
    </row>
    <row r="402" customFormat="false" ht="15" hidden="false" customHeight="false" outlineLevel="0" collapsed="false">
      <c r="A402" s="2" t="s">
        <v>1482</v>
      </c>
      <c r="B402" s="2" t="s">
        <v>811</v>
      </c>
      <c r="C402" s="6" t="n">
        <v>45768</v>
      </c>
      <c r="D402" s="2" t="s">
        <v>39</v>
      </c>
      <c r="E402" s="2" t="s">
        <v>1101</v>
      </c>
      <c r="F402" s="2" t="s">
        <v>1067</v>
      </c>
      <c r="G402" s="2" t="s">
        <v>1085</v>
      </c>
      <c r="H402" s="2" t="s">
        <v>67</v>
      </c>
      <c r="I402" s="2" t="s">
        <v>1069</v>
      </c>
    </row>
    <row r="403" customFormat="false" ht="15" hidden="false" customHeight="false" outlineLevel="0" collapsed="false">
      <c r="A403" s="2" t="s">
        <v>1483</v>
      </c>
      <c r="B403" s="2" t="s">
        <v>554</v>
      </c>
      <c r="C403" s="6" t="n">
        <v>45769</v>
      </c>
      <c r="D403" s="2" t="s">
        <v>39</v>
      </c>
      <c r="E403" s="2" t="s">
        <v>1080</v>
      </c>
      <c r="F403" s="2" t="s">
        <v>1067</v>
      </c>
      <c r="G403" s="2" t="s">
        <v>1085</v>
      </c>
      <c r="H403" s="2" t="s">
        <v>67</v>
      </c>
      <c r="I403" s="2" t="s">
        <v>1093</v>
      </c>
    </row>
    <row r="404" customFormat="false" ht="15" hidden="false" customHeight="false" outlineLevel="0" collapsed="false">
      <c r="A404" s="2" t="s">
        <v>1484</v>
      </c>
      <c r="B404" s="2" t="s">
        <v>908</v>
      </c>
      <c r="C404" s="6" t="n">
        <v>45769</v>
      </c>
      <c r="D404" s="2" t="s">
        <v>39</v>
      </c>
      <c r="E404" s="2" t="s">
        <v>1090</v>
      </c>
      <c r="F404" s="2" t="s">
        <v>1067</v>
      </c>
      <c r="G404" s="2" t="s">
        <v>1068</v>
      </c>
      <c r="H404" s="2" t="s">
        <v>37</v>
      </c>
      <c r="I404" s="2" t="s">
        <v>1069</v>
      </c>
    </row>
    <row r="405" customFormat="false" ht="15" hidden="false" customHeight="false" outlineLevel="0" collapsed="false">
      <c r="A405" s="2" t="s">
        <v>1485</v>
      </c>
      <c r="B405" s="2" t="s">
        <v>389</v>
      </c>
      <c r="C405" s="6" t="n">
        <v>45771</v>
      </c>
      <c r="D405" s="2" t="s">
        <v>39</v>
      </c>
      <c r="E405" s="2" t="s">
        <v>1080</v>
      </c>
      <c r="F405" s="2" t="s">
        <v>1067</v>
      </c>
      <c r="G405" s="2" t="s">
        <v>1068</v>
      </c>
      <c r="H405" s="2" t="s">
        <v>45</v>
      </c>
      <c r="I405" s="2" t="s">
        <v>1072</v>
      </c>
    </row>
    <row r="406" customFormat="false" ht="15" hidden="false" customHeight="false" outlineLevel="0" collapsed="false">
      <c r="A406" s="2" t="s">
        <v>1486</v>
      </c>
      <c r="B406" s="2" t="s">
        <v>281</v>
      </c>
      <c r="C406" s="6" t="n">
        <v>45772</v>
      </c>
      <c r="D406" s="2" t="s">
        <v>39</v>
      </c>
      <c r="E406" s="2" t="s">
        <v>1095</v>
      </c>
      <c r="F406" s="2" t="s">
        <v>1075</v>
      </c>
      <c r="G406" s="2" t="s">
        <v>1068</v>
      </c>
      <c r="H406" s="2" t="s">
        <v>45</v>
      </c>
      <c r="I406" s="2" t="s">
        <v>1072</v>
      </c>
    </row>
    <row r="407" customFormat="false" ht="15" hidden="false" customHeight="false" outlineLevel="0" collapsed="false">
      <c r="A407" s="2" t="s">
        <v>1487</v>
      </c>
      <c r="B407" s="2" t="s">
        <v>591</v>
      </c>
      <c r="C407" s="6" t="n">
        <v>45775</v>
      </c>
      <c r="D407" s="2" t="s">
        <v>39</v>
      </c>
      <c r="E407" s="2" t="s">
        <v>1071</v>
      </c>
      <c r="F407" s="2" t="s">
        <v>1067</v>
      </c>
      <c r="G407" s="2" t="s">
        <v>1068</v>
      </c>
      <c r="H407" s="2" t="s">
        <v>37</v>
      </c>
      <c r="I407" s="2" t="s">
        <v>1069</v>
      </c>
    </row>
    <row r="408" customFormat="false" ht="15" hidden="false" customHeight="false" outlineLevel="0" collapsed="false">
      <c r="A408" s="2" t="s">
        <v>1488</v>
      </c>
      <c r="B408" s="2" t="s">
        <v>314</v>
      </c>
      <c r="C408" s="6" t="n">
        <v>45776</v>
      </c>
      <c r="D408" s="2" t="s">
        <v>39</v>
      </c>
      <c r="E408" s="2" t="s">
        <v>1080</v>
      </c>
      <c r="F408" s="2" t="s">
        <v>1067</v>
      </c>
      <c r="G408" s="2" t="s">
        <v>1068</v>
      </c>
      <c r="H408" s="2" t="s">
        <v>57</v>
      </c>
      <c r="I408" s="2" t="s">
        <v>1069</v>
      </c>
    </row>
    <row r="409" customFormat="false" ht="15" hidden="false" customHeight="false" outlineLevel="0" collapsed="false">
      <c r="A409" s="2" t="s">
        <v>1489</v>
      </c>
      <c r="B409" s="2" t="s">
        <v>560</v>
      </c>
      <c r="C409" s="6" t="n">
        <v>45782</v>
      </c>
      <c r="D409" s="2" t="s">
        <v>39</v>
      </c>
      <c r="E409" s="2" t="s">
        <v>1114</v>
      </c>
      <c r="F409" s="2" t="s">
        <v>1075</v>
      </c>
      <c r="G409" s="2" t="s">
        <v>1068</v>
      </c>
      <c r="H409" s="2" t="s">
        <v>45</v>
      </c>
      <c r="I409" s="2" t="s">
        <v>1069</v>
      </c>
    </row>
    <row r="410" customFormat="false" ht="15" hidden="false" customHeight="false" outlineLevel="0" collapsed="false">
      <c r="A410" s="2" t="s">
        <v>1490</v>
      </c>
      <c r="B410" s="2" t="s">
        <v>844</v>
      </c>
      <c r="C410" s="6" t="n">
        <v>45784</v>
      </c>
      <c r="D410" s="2" t="s">
        <v>39</v>
      </c>
      <c r="E410" s="2" t="s">
        <v>1101</v>
      </c>
      <c r="F410" s="2" t="s">
        <v>1067</v>
      </c>
      <c r="G410" s="2" t="s">
        <v>1068</v>
      </c>
      <c r="H410" s="2" t="s">
        <v>45</v>
      </c>
      <c r="I410" s="2" t="s">
        <v>1069</v>
      </c>
    </row>
    <row r="411" customFormat="false" ht="15" hidden="false" customHeight="false" outlineLevel="0" collapsed="false">
      <c r="A411" s="2" t="s">
        <v>1491</v>
      </c>
      <c r="B411" s="2" t="s">
        <v>644</v>
      </c>
      <c r="C411" s="6" t="n">
        <v>45785</v>
      </c>
      <c r="D411" s="2" t="s">
        <v>39</v>
      </c>
      <c r="E411" s="2" t="s">
        <v>1078</v>
      </c>
      <c r="F411" s="2" t="s">
        <v>1075</v>
      </c>
      <c r="G411" s="2" t="s">
        <v>1068</v>
      </c>
      <c r="H411" s="2" t="s">
        <v>37</v>
      </c>
      <c r="I411" s="2" t="s">
        <v>1072</v>
      </c>
    </row>
    <row r="412" customFormat="false" ht="15" hidden="false" customHeight="false" outlineLevel="0" collapsed="false">
      <c r="A412" s="2" t="s">
        <v>1492</v>
      </c>
      <c r="B412" s="2" t="s">
        <v>829</v>
      </c>
      <c r="C412" s="6" t="n">
        <v>45786</v>
      </c>
      <c r="D412" s="2" t="s">
        <v>39</v>
      </c>
      <c r="E412" s="2" t="s">
        <v>1101</v>
      </c>
      <c r="F412" s="2" t="s">
        <v>1067</v>
      </c>
      <c r="G412" s="2" t="s">
        <v>1068</v>
      </c>
      <c r="H412" s="2" t="s">
        <v>45</v>
      </c>
      <c r="I412" s="2" t="s">
        <v>1069</v>
      </c>
    </row>
    <row r="413" customFormat="false" ht="15" hidden="false" customHeight="false" outlineLevel="0" collapsed="false">
      <c r="A413" s="2" t="s">
        <v>1493</v>
      </c>
      <c r="B413" s="2" t="s">
        <v>850</v>
      </c>
      <c r="C413" s="6" t="n">
        <v>45789</v>
      </c>
      <c r="D413" s="2" t="s">
        <v>39</v>
      </c>
      <c r="E413" s="2" t="s">
        <v>1066</v>
      </c>
      <c r="F413" s="2" t="s">
        <v>1067</v>
      </c>
      <c r="G413" s="2" t="s">
        <v>1068</v>
      </c>
      <c r="H413" s="2" t="s">
        <v>45</v>
      </c>
      <c r="I413" s="2" t="s">
        <v>1069</v>
      </c>
    </row>
    <row r="414" customFormat="false" ht="15" hidden="false" customHeight="false" outlineLevel="0" collapsed="false">
      <c r="A414" s="2" t="s">
        <v>1494</v>
      </c>
      <c r="B414" s="2" t="s">
        <v>858</v>
      </c>
      <c r="C414" s="6" t="n">
        <v>45790</v>
      </c>
      <c r="D414" s="2" t="s">
        <v>39</v>
      </c>
      <c r="E414" s="2" t="s">
        <v>1114</v>
      </c>
      <c r="F414" s="2" t="s">
        <v>1075</v>
      </c>
      <c r="G414" s="2" t="s">
        <v>1068</v>
      </c>
      <c r="H414" s="2" t="s">
        <v>37</v>
      </c>
      <c r="I414" s="2" t="s">
        <v>1072</v>
      </c>
    </row>
    <row r="415" customFormat="false" ht="15" hidden="false" customHeight="false" outlineLevel="0" collapsed="false">
      <c r="A415" s="2" t="s">
        <v>1495</v>
      </c>
      <c r="B415" s="2" t="s">
        <v>864</v>
      </c>
      <c r="C415" s="6" t="n">
        <v>45790</v>
      </c>
      <c r="D415" s="2" t="s">
        <v>39</v>
      </c>
      <c r="E415" s="2" t="s">
        <v>1066</v>
      </c>
      <c r="F415" s="2" t="s">
        <v>1067</v>
      </c>
      <c r="G415" s="2" t="s">
        <v>1068</v>
      </c>
      <c r="H415" s="2" t="s">
        <v>45</v>
      </c>
      <c r="I415" s="2" t="s">
        <v>1069</v>
      </c>
    </row>
    <row r="416" customFormat="false" ht="15" hidden="false" customHeight="false" outlineLevel="0" collapsed="false">
      <c r="A416" s="2" t="s">
        <v>1496</v>
      </c>
      <c r="B416" s="2" t="s">
        <v>775</v>
      </c>
      <c r="C416" s="6" t="n">
        <v>45792</v>
      </c>
      <c r="D416" s="2" t="s">
        <v>39</v>
      </c>
      <c r="E416" s="2" t="s">
        <v>1071</v>
      </c>
      <c r="F416" s="2" t="s">
        <v>1067</v>
      </c>
      <c r="G416" s="2" t="s">
        <v>1085</v>
      </c>
      <c r="H416" s="2" t="s">
        <v>67</v>
      </c>
      <c r="I416" s="2" t="s">
        <v>1069</v>
      </c>
    </row>
    <row r="417" customFormat="false" ht="15" hidden="false" customHeight="false" outlineLevel="0" collapsed="false">
      <c r="A417" s="2" t="s">
        <v>1497</v>
      </c>
      <c r="B417" s="2" t="s">
        <v>735</v>
      </c>
      <c r="C417" s="6" t="n">
        <v>45798</v>
      </c>
      <c r="D417" s="2" t="s">
        <v>39</v>
      </c>
      <c r="E417" s="2" t="s">
        <v>1099</v>
      </c>
      <c r="F417" s="2" t="s">
        <v>1075</v>
      </c>
      <c r="G417" s="2" t="s">
        <v>1068</v>
      </c>
      <c r="H417" s="2" t="s">
        <v>57</v>
      </c>
      <c r="I417" s="2" t="s">
        <v>1072</v>
      </c>
    </row>
    <row r="418" customFormat="false" ht="15" hidden="false" customHeight="false" outlineLevel="0" collapsed="false">
      <c r="A418" s="2" t="s">
        <v>1498</v>
      </c>
      <c r="B418" s="2" t="s">
        <v>401</v>
      </c>
      <c r="C418" s="6" t="n">
        <v>45799</v>
      </c>
      <c r="D418" s="2" t="s">
        <v>39</v>
      </c>
      <c r="E418" s="2" t="s">
        <v>1080</v>
      </c>
      <c r="F418" s="2" t="s">
        <v>1067</v>
      </c>
      <c r="G418" s="2" t="s">
        <v>1068</v>
      </c>
      <c r="H418" s="2" t="s">
        <v>45</v>
      </c>
      <c r="I418" s="2" t="s">
        <v>1069</v>
      </c>
    </row>
    <row r="419" customFormat="false" ht="15" hidden="false" customHeight="false" outlineLevel="0" collapsed="false">
      <c r="A419" s="2" t="s">
        <v>1499</v>
      </c>
      <c r="B419" s="2" t="s">
        <v>511</v>
      </c>
      <c r="C419" s="6" t="n">
        <v>45803</v>
      </c>
      <c r="D419" s="2" t="s">
        <v>39</v>
      </c>
      <c r="E419" s="2" t="s">
        <v>1090</v>
      </c>
      <c r="F419" s="2" t="s">
        <v>1067</v>
      </c>
      <c r="G419" s="2" t="s">
        <v>1068</v>
      </c>
      <c r="H419" s="2" t="s">
        <v>37</v>
      </c>
      <c r="I419" s="2" t="s">
        <v>1069</v>
      </c>
    </row>
    <row r="420" customFormat="false" ht="15" hidden="false" customHeight="false" outlineLevel="0" collapsed="false">
      <c r="A420" s="2" t="s">
        <v>1500</v>
      </c>
      <c r="B420" s="2" t="s">
        <v>508</v>
      </c>
      <c r="C420" s="6" t="n">
        <v>45804</v>
      </c>
      <c r="D420" s="2" t="s">
        <v>39</v>
      </c>
      <c r="E420" s="2" t="s">
        <v>1066</v>
      </c>
      <c r="F420" s="2" t="s">
        <v>1067</v>
      </c>
      <c r="G420" s="2" t="s">
        <v>1068</v>
      </c>
      <c r="H420" s="2" t="s">
        <v>45</v>
      </c>
      <c r="I420" s="2" t="s">
        <v>1069</v>
      </c>
    </row>
    <row r="421" customFormat="false" ht="15" hidden="false" customHeight="false" outlineLevel="0" collapsed="false">
      <c r="A421" s="2" t="s">
        <v>1501</v>
      </c>
      <c r="B421" s="2" t="s">
        <v>522</v>
      </c>
      <c r="C421" s="6" t="n">
        <v>45805</v>
      </c>
      <c r="D421" s="2" t="s">
        <v>39</v>
      </c>
      <c r="E421" s="2" t="s">
        <v>1066</v>
      </c>
      <c r="F421" s="2" t="s">
        <v>1067</v>
      </c>
      <c r="G421" s="2" t="s">
        <v>1068</v>
      </c>
      <c r="H421" s="2" t="s">
        <v>45</v>
      </c>
      <c r="I421" s="2" t="s">
        <v>1072</v>
      </c>
    </row>
    <row r="422" customFormat="false" ht="15" hidden="false" customHeight="false" outlineLevel="0" collapsed="false">
      <c r="A422" s="2" t="s">
        <v>1502</v>
      </c>
      <c r="B422" s="2" t="s">
        <v>211</v>
      </c>
      <c r="C422" s="6" t="n">
        <v>45806</v>
      </c>
      <c r="D422" s="2" t="s">
        <v>39</v>
      </c>
      <c r="E422" s="2" t="s">
        <v>1101</v>
      </c>
      <c r="F422" s="2" t="s">
        <v>1067</v>
      </c>
      <c r="G422" s="2" t="s">
        <v>1085</v>
      </c>
      <c r="H422" s="2" t="s">
        <v>67</v>
      </c>
      <c r="I422" s="2" t="s">
        <v>1069</v>
      </c>
    </row>
    <row r="423" customFormat="false" ht="15" hidden="false" customHeight="false" outlineLevel="0" collapsed="false">
      <c r="A423" s="2" t="s">
        <v>1503</v>
      </c>
      <c r="B423" s="2" t="s">
        <v>522</v>
      </c>
      <c r="C423" s="6" t="n">
        <v>45807</v>
      </c>
      <c r="D423" s="2" t="s">
        <v>39</v>
      </c>
      <c r="E423" s="2" t="s">
        <v>1071</v>
      </c>
      <c r="F423" s="2" t="s">
        <v>1067</v>
      </c>
      <c r="G423" s="2" t="s">
        <v>1068</v>
      </c>
      <c r="H423" s="2" t="s">
        <v>37</v>
      </c>
      <c r="I423" s="2" t="s">
        <v>1072</v>
      </c>
    </row>
    <row r="424" customFormat="false" ht="15" hidden="false" customHeight="false" outlineLevel="0" collapsed="false">
      <c r="A424" s="2" t="s">
        <v>1504</v>
      </c>
      <c r="B424" s="2" t="s">
        <v>560</v>
      </c>
      <c r="C424" s="6" t="n">
        <v>45812</v>
      </c>
      <c r="D424" s="2" t="s">
        <v>47</v>
      </c>
      <c r="E424" s="2" t="s">
        <v>1071</v>
      </c>
      <c r="F424" s="2" t="s">
        <v>1067</v>
      </c>
      <c r="G424" s="2" t="s">
        <v>1068</v>
      </c>
      <c r="H424" s="2" t="s">
        <v>45</v>
      </c>
      <c r="I424" s="2" t="s">
        <v>1093</v>
      </c>
    </row>
    <row r="425" customFormat="false" ht="15" hidden="false" customHeight="false" outlineLevel="0" collapsed="false">
      <c r="A425" s="2" t="s">
        <v>1505</v>
      </c>
      <c r="B425" s="2" t="s">
        <v>988</v>
      </c>
      <c r="C425" s="6" t="n">
        <v>45812</v>
      </c>
      <c r="D425" s="2" t="s">
        <v>47</v>
      </c>
      <c r="E425" s="2" t="s">
        <v>1114</v>
      </c>
      <c r="F425" s="2" t="s">
        <v>1075</v>
      </c>
      <c r="G425" s="2" t="s">
        <v>1068</v>
      </c>
      <c r="H425" s="2" t="s">
        <v>37</v>
      </c>
      <c r="I425" s="2" t="s">
        <v>1069</v>
      </c>
    </row>
    <row r="426" customFormat="false" ht="15" hidden="false" customHeight="false" outlineLevel="0" collapsed="false">
      <c r="A426" s="2" t="s">
        <v>1506</v>
      </c>
      <c r="B426" s="2" t="s">
        <v>714</v>
      </c>
      <c r="C426" s="6" t="n">
        <v>45817</v>
      </c>
      <c r="D426" s="2" t="s">
        <v>47</v>
      </c>
      <c r="E426" s="2" t="s">
        <v>1066</v>
      </c>
      <c r="F426" s="2" t="s">
        <v>1067</v>
      </c>
      <c r="G426" s="2" t="s">
        <v>1068</v>
      </c>
      <c r="H426" s="2" t="s">
        <v>37</v>
      </c>
      <c r="I426" s="2" t="s">
        <v>1072</v>
      </c>
    </row>
    <row r="427" customFormat="false" ht="15" hidden="false" customHeight="false" outlineLevel="0" collapsed="false">
      <c r="A427" s="2" t="s">
        <v>1507</v>
      </c>
      <c r="B427" s="2" t="s">
        <v>1026</v>
      </c>
      <c r="C427" s="6" t="n">
        <v>45817</v>
      </c>
      <c r="D427" s="2" t="s">
        <v>47</v>
      </c>
      <c r="E427" s="2" t="s">
        <v>1114</v>
      </c>
      <c r="F427" s="2" t="s">
        <v>1075</v>
      </c>
      <c r="G427" s="2" t="s">
        <v>1068</v>
      </c>
      <c r="H427" s="2" t="s">
        <v>37</v>
      </c>
      <c r="I427" s="2" t="s">
        <v>1072</v>
      </c>
    </row>
    <row r="428" customFormat="false" ht="15" hidden="false" customHeight="false" outlineLevel="0" collapsed="false">
      <c r="A428" s="2" t="s">
        <v>1508</v>
      </c>
      <c r="B428" s="2" t="s">
        <v>695</v>
      </c>
      <c r="C428" s="6" t="n">
        <v>45820</v>
      </c>
      <c r="D428" s="2" t="s">
        <v>47</v>
      </c>
      <c r="E428" s="2" t="s">
        <v>1090</v>
      </c>
      <c r="F428" s="2" t="s">
        <v>1067</v>
      </c>
      <c r="G428" s="2" t="s">
        <v>1085</v>
      </c>
      <c r="H428" s="2" t="s">
        <v>67</v>
      </c>
      <c r="I428" s="2" t="s">
        <v>1069</v>
      </c>
    </row>
    <row r="429" customFormat="false" ht="15" hidden="false" customHeight="false" outlineLevel="0" collapsed="false">
      <c r="A429" s="2" t="s">
        <v>1509</v>
      </c>
      <c r="B429" s="2" t="s">
        <v>1032</v>
      </c>
      <c r="C429" s="6" t="n">
        <v>45820</v>
      </c>
      <c r="D429" s="2" t="s">
        <v>47</v>
      </c>
      <c r="E429" s="2" t="s">
        <v>1080</v>
      </c>
      <c r="F429" s="2" t="s">
        <v>1067</v>
      </c>
      <c r="G429" s="2" t="s">
        <v>1085</v>
      </c>
      <c r="H429" s="2" t="s">
        <v>67</v>
      </c>
      <c r="I429" s="2" t="s">
        <v>1072</v>
      </c>
    </row>
    <row r="430" customFormat="false" ht="15" hidden="false" customHeight="false" outlineLevel="0" collapsed="false">
      <c r="A430" s="2" t="s">
        <v>1510</v>
      </c>
      <c r="B430" s="2" t="s">
        <v>908</v>
      </c>
      <c r="C430" s="6" t="n">
        <v>45824</v>
      </c>
      <c r="D430" s="2" t="s">
        <v>47</v>
      </c>
      <c r="E430" s="2" t="s">
        <v>1074</v>
      </c>
      <c r="F430" s="2" t="s">
        <v>1075</v>
      </c>
      <c r="G430" s="2" t="s">
        <v>1068</v>
      </c>
      <c r="H430" s="2" t="s">
        <v>45</v>
      </c>
      <c r="I430" s="2" t="s">
        <v>1069</v>
      </c>
    </row>
    <row r="431" customFormat="false" ht="15" hidden="false" customHeight="false" outlineLevel="0" collapsed="false">
      <c r="A431" s="2" t="s">
        <v>1511</v>
      </c>
      <c r="B431" s="2" t="s">
        <v>602</v>
      </c>
      <c r="C431" s="6" t="n">
        <v>45826</v>
      </c>
      <c r="D431" s="2" t="s">
        <v>47</v>
      </c>
      <c r="E431" s="2" t="s">
        <v>1114</v>
      </c>
      <c r="F431" s="2" t="s">
        <v>1075</v>
      </c>
      <c r="G431" s="2" t="s">
        <v>1068</v>
      </c>
      <c r="H431" s="2" t="s">
        <v>45</v>
      </c>
      <c r="I431" s="2" t="s">
        <v>1093</v>
      </c>
    </row>
    <row r="432" customFormat="false" ht="15" hidden="false" customHeight="false" outlineLevel="0" collapsed="false">
      <c r="A432" s="2" t="s">
        <v>1512</v>
      </c>
      <c r="B432" s="2" t="s">
        <v>691</v>
      </c>
      <c r="C432" s="6" t="n">
        <v>45827</v>
      </c>
      <c r="D432" s="2" t="s">
        <v>47</v>
      </c>
      <c r="E432" s="2" t="s">
        <v>1066</v>
      </c>
      <c r="F432" s="2" t="s">
        <v>1067</v>
      </c>
      <c r="G432" s="2" t="s">
        <v>1068</v>
      </c>
      <c r="H432" s="2" t="s">
        <v>45</v>
      </c>
      <c r="I432" s="2" t="s">
        <v>1069</v>
      </c>
    </row>
    <row r="433" customFormat="false" ht="15" hidden="false" customHeight="false" outlineLevel="0" collapsed="false">
      <c r="A433" s="2" t="s">
        <v>1513</v>
      </c>
      <c r="B433" s="2" t="s">
        <v>1050</v>
      </c>
      <c r="C433" s="6" t="n">
        <v>45827</v>
      </c>
      <c r="D433" s="2" t="s">
        <v>47</v>
      </c>
      <c r="E433" s="2" t="s">
        <v>1095</v>
      </c>
      <c r="F433" s="2" t="s">
        <v>1075</v>
      </c>
      <c r="G433" s="2" t="s">
        <v>1068</v>
      </c>
      <c r="H433" s="2" t="s">
        <v>37</v>
      </c>
      <c r="I433" s="2" t="s">
        <v>1072</v>
      </c>
    </row>
    <row r="434" customFormat="false" ht="15" hidden="false" customHeight="false" outlineLevel="0" collapsed="false">
      <c r="A434" s="2" t="s">
        <v>1514</v>
      </c>
      <c r="B434" s="2" t="s">
        <v>952</v>
      </c>
      <c r="C434" s="6" t="n">
        <v>45828</v>
      </c>
      <c r="D434" s="2" t="s">
        <v>47</v>
      </c>
      <c r="E434" s="2" t="s">
        <v>1114</v>
      </c>
      <c r="F434" s="2" t="s">
        <v>1075</v>
      </c>
      <c r="G434" s="2" t="s">
        <v>1068</v>
      </c>
      <c r="H434" s="2" t="s">
        <v>37</v>
      </c>
      <c r="I434" s="2" t="s">
        <v>1069</v>
      </c>
    </row>
    <row r="435" customFormat="false" ht="15" hidden="false" customHeight="false" outlineLevel="0" collapsed="false">
      <c r="A435" s="2" t="s">
        <v>1515</v>
      </c>
      <c r="B435" s="2" t="s">
        <v>88</v>
      </c>
      <c r="C435" s="6" t="n">
        <v>45832</v>
      </c>
      <c r="D435" s="2" t="s">
        <v>47</v>
      </c>
      <c r="E435" s="2" t="s">
        <v>1099</v>
      </c>
      <c r="F435" s="2" t="s">
        <v>1075</v>
      </c>
      <c r="G435" s="2" t="s">
        <v>1068</v>
      </c>
      <c r="H435" s="2" t="s">
        <v>37</v>
      </c>
      <c r="I435" s="2" t="s">
        <v>1072</v>
      </c>
    </row>
    <row r="436" customFormat="false" ht="15" hidden="false" customHeight="false" outlineLevel="0" collapsed="false">
      <c r="A436" s="2" t="s">
        <v>1516</v>
      </c>
      <c r="B436" s="2" t="s">
        <v>758</v>
      </c>
      <c r="C436" s="6" t="n">
        <v>45834</v>
      </c>
      <c r="D436" s="2" t="s">
        <v>47</v>
      </c>
      <c r="E436" s="2" t="s">
        <v>1080</v>
      </c>
      <c r="F436" s="2" t="s">
        <v>1067</v>
      </c>
      <c r="G436" s="2" t="s">
        <v>1068</v>
      </c>
      <c r="H436" s="2" t="s">
        <v>45</v>
      </c>
      <c r="I436" s="2" t="s">
        <v>1072</v>
      </c>
    </row>
    <row r="437" customFormat="false" ht="15" hidden="false" customHeight="false" outlineLevel="0" collapsed="false">
      <c r="A437" s="2" t="s">
        <v>1517</v>
      </c>
      <c r="B437" s="2" t="s">
        <v>417</v>
      </c>
      <c r="C437" s="6" t="n">
        <v>45835</v>
      </c>
      <c r="D437" s="2" t="s">
        <v>47</v>
      </c>
      <c r="E437" s="2" t="s">
        <v>1090</v>
      </c>
      <c r="F437" s="2" t="s">
        <v>1067</v>
      </c>
      <c r="G437" s="2" t="s">
        <v>1068</v>
      </c>
      <c r="H437" s="2" t="s">
        <v>45</v>
      </c>
      <c r="I437" s="2" t="s">
        <v>1072</v>
      </c>
    </row>
    <row r="438" customFormat="false" ht="15" hidden="false" customHeight="false" outlineLevel="0" collapsed="false">
      <c r="A438" s="2" t="s">
        <v>1518</v>
      </c>
      <c r="B438" s="2" t="s">
        <v>651</v>
      </c>
      <c r="C438" s="6" t="n">
        <v>45835</v>
      </c>
      <c r="D438" s="2" t="s">
        <v>47</v>
      </c>
      <c r="E438" s="2" t="s">
        <v>1066</v>
      </c>
      <c r="F438" s="2" t="s">
        <v>1067</v>
      </c>
      <c r="G438" s="2" t="s">
        <v>1085</v>
      </c>
      <c r="H438" s="2" t="s">
        <v>67</v>
      </c>
      <c r="I438" s="2" t="s">
        <v>1072</v>
      </c>
    </row>
    <row r="439" customFormat="false" ht="15" hidden="false" customHeight="false" outlineLevel="0" collapsed="false">
      <c r="A439" s="2" t="s">
        <v>1519</v>
      </c>
      <c r="B439" s="2" t="s">
        <v>861</v>
      </c>
      <c r="C439" s="6" t="n">
        <v>45838</v>
      </c>
      <c r="D439" s="2" t="s">
        <v>47</v>
      </c>
      <c r="E439" s="2" t="s">
        <v>1095</v>
      </c>
      <c r="F439" s="2" t="s">
        <v>1075</v>
      </c>
      <c r="G439" s="2" t="s">
        <v>1068</v>
      </c>
      <c r="H439" s="2" t="s">
        <v>37</v>
      </c>
      <c r="I439" s="2" t="s">
        <v>1069</v>
      </c>
    </row>
    <row r="440" customFormat="false" ht="15" hidden="false" customHeight="false" outlineLevel="0" collapsed="false">
      <c r="A440" s="2" t="s">
        <v>1520</v>
      </c>
      <c r="B440" s="2" t="s">
        <v>518</v>
      </c>
      <c r="C440" s="6" t="n">
        <v>45839</v>
      </c>
      <c r="D440" s="2" t="s">
        <v>47</v>
      </c>
      <c r="E440" s="2" t="s">
        <v>1095</v>
      </c>
      <c r="F440" s="2" t="s">
        <v>1075</v>
      </c>
      <c r="G440" s="2" t="s">
        <v>1068</v>
      </c>
      <c r="H440" s="2" t="s">
        <v>45</v>
      </c>
      <c r="I440" s="2" t="s">
        <v>1069</v>
      </c>
    </row>
    <row r="441" customFormat="false" ht="15" hidden="false" customHeight="false" outlineLevel="0" collapsed="false">
      <c r="A441" s="2" t="s">
        <v>1521</v>
      </c>
      <c r="B441" s="2" t="s">
        <v>835</v>
      </c>
      <c r="C441" s="6" t="n">
        <v>45840</v>
      </c>
      <c r="D441" s="2" t="s">
        <v>47</v>
      </c>
      <c r="E441" s="2" t="s">
        <v>1078</v>
      </c>
      <c r="F441" s="2" t="s">
        <v>1075</v>
      </c>
      <c r="G441" s="2" t="s">
        <v>1068</v>
      </c>
      <c r="H441" s="2" t="s">
        <v>45</v>
      </c>
      <c r="I441" s="2" t="s">
        <v>1069</v>
      </c>
    </row>
    <row r="442" customFormat="false" ht="15" hidden="false" customHeight="false" outlineLevel="0" collapsed="false">
      <c r="A442" s="2" t="s">
        <v>1522</v>
      </c>
      <c r="B442" s="2" t="s">
        <v>1048</v>
      </c>
      <c r="C442" s="6" t="n">
        <v>45840</v>
      </c>
      <c r="D442" s="2" t="s">
        <v>47</v>
      </c>
      <c r="E442" s="2" t="s">
        <v>1080</v>
      </c>
      <c r="F442" s="2" t="s">
        <v>1067</v>
      </c>
      <c r="G442" s="2" t="s">
        <v>1068</v>
      </c>
      <c r="H442" s="2" t="s">
        <v>45</v>
      </c>
      <c r="I442" s="2" t="s">
        <v>1069</v>
      </c>
    </row>
    <row r="443" customFormat="false" ht="15" hidden="false" customHeight="false" outlineLevel="0" collapsed="false">
      <c r="A443" s="2" t="s">
        <v>1523</v>
      </c>
      <c r="B443" s="2" t="s">
        <v>463</v>
      </c>
      <c r="C443" s="6" t="n">
        <v>45842</v>
      </c>
      <c r="D443" s="2" t="s">
        <v>47</v>
      </c>
      <c r="E443" s="2" t="s">
        <v>1080</v>
      </c>
      <c r="F443" s="2" t="s">
        <v>1067</v>
      </c>
      <c r="G443" s="2" t="s">
        <v>1068</v>
      </c>
      <c r="H443" s="2" t="s">
        <v>37</v>
      </c>
      <c r="I443" s="2" t="s">
        <v>1072</v>
      </c>
    </row>
    <row r="444" customFormat="false" ht="15" hidden="false" customHeight="false" outlineLevel="0" collapsed="false">
      <c r="A444" s="2" t="s">
        <v>1524</v>
      </c>
      <c r="B444" s="2" t="s">
        <v>667</v>
      </c>
      <c r="C444" s="6" t="n">
        <v>45842</v>
      </c>
      <c r="D444" s="2" t="s">
        <v>47</v>
      </c>
      <c r="E444" s="2" t="s">
        <v>1095</v>
      </c>
      <c r="F444" s="2" t="s">
        <v>1075</v>
      </c>
      <c r="G444" s="2" t="s">
        <v>1068</v>
      </c>
      <c r="H444" s="2" t="s">
        <v>37</v>
      </c>
      <c r="I444" s="2" t="s">
        <v>1072</v>
      </c>
    </row>
    <row r="445" customFormat="false" ht="15" hidden="false" customHeight="false" outlineLevel="0" collapsed="false">
      <c r="A445" s="2" t="s">
        <v>1525</v>
      </c>
      <c r="B445" s="2" t="s">
        <v>695</v>
      </c>
      <c r="C445" s="6" t="n">
        <v>45842</v>
      </c>
      <c r="D445" s="2" t="s">
        <v>47</v>
      </c>
      <c r="E445" s="2" t="s">
        <v>1114</v>
      </c>
      <c r="F445" s="2" t="s">
        <v>1075</v>
      </c>
      <c r="G445" s="2" t="s">
        <v>1068</v>
      </c>
      <c r="H445" s="2" t="s">
        <v>37</v>
      </c>
      <c r="I445" s="2" t="s">
        <v>1069</v>
      </c>
    </row>
    <row r="446" customFormat="false" ht="15" hidden="false" customHeight="false" outlineLevel="0" collapsed="false">
      <c r="A446" s="2" t="s">
        <v>1526</v>
      </c>
      <c r="B446" s="2" t="s">
        <v>718</v>
      </c>
      <c r="C446" s="6" t="n">
        <v>45842</v>
      </c>
      <c r="D446" s="2" t="s">
        <v>47</v>
      </c>
      <c r="E446" s="2" t="s">
        <v>1101</v>
      </c>
      <c r="F446" s="2" t="s">
        <v>1067</v>
      </c>
      <c r="G446" s="2" t="s">
        <v>1068</v>
      </c>
      <c r="H446" s="2" t="s">
        <v>57</v>
      </c>
      <c r="I446" s="2" t="s">
        <v>1069</v>
      </c>
    </row>
    <row r="447" customFormat="false" ht="15" hidden="false" customHeight="false" outlineLevel="0" collapsed="false">
      <c r="A447" s="2" t="s">
        <v>1527</v>
      </c>
      <c r="B447" s="2" t="s">
        <v>1030</v>
      </c>
      <c r="C447" s="6" t="n">
        <v>45845</v>
      </c>
      <c r="D447" s="2" t="s">
        <v>47</v>
      </c>
      <c r="E447" s="2" t="s">
        <v>1071</v>
      </c>
      <c r="F447" s="2" t="s">
        <v>1067</v>
      </c>
      <c r="G447" s="2" t="s">
        <v>1068</v>
      </c>
      <c r="H447" s="2" t="s">
        <v>37</v>
      </c>
      <c r="I447" s="2" t="s">
        <v>1069</v>
      </c>
    </row>
    <row r="448" customFormat="false" ht="15" hidden="false" customHeight="false" outlineLevel="0" collapsed="false">
      <c r="A448" s="2" t="s">
        <v>1528</v>
      </c>
      <c r="B448" s="2" t="s">
        <v>817</v>
      </c>
      <c r="C448" s="6" t="n">
        <v>45846</v>
      </c>
      <c r="D448" s="2" t="s">
        <v>47</v>
      </c>
      <c r="E448" s="2" t="s">
        <v>1101</v>
      </c>
      <c r="F448" s="2" t="s">
        <v>1067</v>
      </c>
      <c r="G448" s="2" t="s">
        <v>1068</v>
      </c>
      <c r="H448" s="2" t="s">
        <v>45</v>
      </c>
      <c r="I448" s="2" t="s">
        <v>1072</v>
      </c>
    </row>
    <row r="449" customFormat="false" ht="15" hidden="false" customHeight="false" outlineLevel="0" collapsed="false">
      <c r="A449" s="2" t="s">
        <v>1529</v>
      </c>
      <c r="B449" s="2" t="s">
        <v>722</v>
      </c>
      <c r="C449" s="6" t="n">
        <v>45852</v>
      </c>
      <c r="D449" s="2" t="s">
        <v>47</v>
      </c>
      <c r="E449" s="2" t="s">
        <v>1074</v>
      </c>
      <c r="F449" s="2" t="s">
        <v>1075</v>
      </c>
      <c r="G449" s="2" t="s">
        <v>1068</v>
      </c>
      <c r="H449" s="2" t="s">
        <v>45</v>
      </c>
      <c r="I449" s="2" t="s">
        <v>1072</v>
      </c>
    </row>
    <row r="450" customFormat="false" ht="15" hidden="false" customHeight="false" outlineLevel="0" collapsed="false">
      <c r="A450" s="2" t="s">
        <v>1530</v>
      </c>
      <c r="B450" s="2" t="s">
        <v>236</v>
      </c>
      <c r="C450" s="6" t="n">
        <v>45853</v>
      </c>
      <c r="D450" s="2" t="s">
        <v>47</v>
      </c>
      <c r="E450" s="2" t="s">
        <v>1090</v>
      </c>
      <c r="F450" s="2" t="s">
        <v>1067</v>
      </c>
      <c r="G450" s="2" t="s">
        <v>1068</v>
      </c>
      <c r="H450" s="2" t="s">
        <v>45</v>
      </c>
      <c r="I450" s="2" t="s">
        <v>1069</v>
      </c>
    </row>
    <row r="451" customFormat="false" ht="15" hidden="false" customHeight="false" outlineLevel="0" collapsed="false">
      <c r="A451" s="2" t="s">
        <v>1531</v>
      </c>
      <c r="B451" s="2" t="s">
        <v>944</v>
      </c>
      <c r="C451" s="6" t="n">
        <v>45853</v>
      </c>
      <c r="D451" s="2" t="s">
        <v>47</v>
      </c>
      <c r="E451" s="2" t="s">
        <v>1066</v>
      </c>
      <c r="F451" s="2" t="s">
        <v>1067</v>
      </c>
      <c r="G451" s="2" t="s">
        <v>1068</v>
      </c>
      <c r="H451" s="2" t="s">
        <v>45</v>
      </c>
      <c r="I451" s="2" t="s">
        <v>1069</v>
      </c>
    </row>
    <row r="452" customFormat="false" ht="15" hidden="false" customHeight="false" outlineLevel="0" collapsed="false">
      <c r="A452" s="2" t="s">
        <v>1532</v>
      </c>
      <c r="B452" s="2" t="s">
        <v>63</v>
      </c>
      <c r="C452" s="6" t="n">
        <v>45854</v>
      </c>
      <c r="D452" s="2" t="s">
        <v>47</v>
      </c>
      <c r="E452" s="2" t="s">
        <v>1074</v>
      </c>
      <c r="F452" s="2" t="s">
        <v>1075</v>
      </c>
      <c r="G452" s="2" t="s">
        <v>1068</v>
      </c>
      <c r="H452" s="2" t="s">
        <v>57</v>
      </c>
      <c r="I452" s="2" t="s">
        <v>1069</v>
      </c>
    </row>
    <row r="453" customFormat="false" ht="15" hidden="false" customHeight="false" outlineLevel="0" collapsed="false">
      <c r="A453" s="2" t="s">
        <v>1533</v>
      </c>
      <c r="B453" s="2" t="s">
        <v>667</v>
      </c>
      <c r="C453" s="6" t="n">
        <v>45856</v>
      </c>
      <c r="D453" s="2" t="s">
        <v>47</v>
      </c>
      <c r="E453" s="2" t="s">
        <v>1114</v>
      </c>
      <c r="F453" s="2" t="s">
        <v>1075</v>
      </c>
      <c r="G453" s="2" t="s">
        <v>1068</v>
      </c>
      <c r="H453" s="2" t="s">
        <v>45</v>
      </c>
      <c r="I453" s="2" t="s">
        <v>1072</v>
      </c>
    </row>
    <row r="454" customFormat="false" ht="15" hidden="false" customHeight="false" outlineLevel="0" collapsed="false">
      <c r="A454" s="2" t="s">
        <v>1534</v>
      </c>
      <c r="B454" s="2" t="s">
        <v>919</v>
      </c>
      <c r="C454" s="6" t="n">
        <v>45856</v>
      </c>
      <c r="D454" s="2" t="s">
        <v>47</v>
      </c>
      <c r="E454" s="2" t="s">
        <v>1074</v>
      </c>
      <c r="F454" s="2" t="s">
        <v>1075</v>
      </c>
      <c r="G454" s="2" t="s">
        <v>1068</v>
      </c>
      <c r="H454" s="2" t="s">
        <v>57</v>
      </c>
      <c r="I454" s="2" t="s">
        <v>1069</v>
      </c>
    </row>
    <row r="455" customFormat="false" ht="15" hidden="false" customHeight="false" outlineLevel="0" collapsed="false">
      <c r="A455" s="2" t="s">
        <v>1535</v>
      </c>
      <c r="B455" s="2" t="s">
        <v>602</v>
      </c>
      <c r="C455" s="6" t="n">
        <v>45861</v>
      </c>
      <c r="D455" s="2" t="s">
        <v>47</v>
      </c>
      <c r="E455" s="2" t="s">
        <v>1101</v>
      </c>
      <c r="F455" s="2" t="s">
        <v>1067</v>
      </c>
      <c r="G455" s="2" t="s">
        <v>1068</v>
      </c>
      <c r="H455" s="2" t="s">
        <v>45</v>
      </c>
      <c r="I455" s="2" t="s">
        <v>1069</v>
      </c>
    </row>
    <row r="456" customFormat="false" ht="15" hidden="false" customHeight="false" outlineLevel="0" collapsed="false">
      <c r="A456" s="2" t="s">
        <v>1536</v>
      </c>
      <c r="B456" s="2" t="s">
        <v>882</v>
      </c>
      <c r="C456" s="6" t="n">
        <v>45861</v>
      </c>
      <c r="D456" s="2" t="s">
        <v>47</v>
      </c>
      <c r="E456" s="2" t="s">
        <v>1074</v>
      </c>
      <c r="F456" s="2" t="s">
        <v>1075</v>
      </c>
      <c r="G456" s="2" t="s">
        <v>1068</v>
      </c>
      <c r="H456" s="2" t="s">
        <v>45</v>
      </c>
      <c r="I456" s="2" t="s">
        <v>1072</v>
      </c>
    </row>
    <row r="457" customFormat="false" ht="15" hidden="false" customHeight="false" outlineLevel="0" collapsed="false">
      <c r="A457" s="2" t="s">
        <v>1537</v>
      </c>
      <c r="B457" s="2" t="s">
        <v>714</v>
      </c>
      <c r="C457" s="6" t="n">
        <v>45862</v>
      </c>
      <c r="D457" s="2" t="s">
        <v>47</v>
      </c>
      <c r="E457" s="2" t="s">
        <v>1114</v>
      </c>
      <c r="F457" s="2" t="s">
        <v>1075</v>
      </c>
      <c r="G457" s="2" t="s">
        <v>1068</v>
      </c>
      <c r="H457" s="2" t="s">
        <v>57</v>
      </c>
      <c r="I457" s="2" t="s">
        <v>1069</v>
      </c>
    </row>
    <row r="458" customFormat="false" ht="15" hidden="false" customHeight="false" outlineLevel="0" collapsed="false">
      <c r="A458" s="2" t="s">
        <v>1538</v>
      </c>
      <c r="B458" s="2" t="s">
        <v>463</v>
      </c>
      <c r="C458" s="6" t="n">
        <v>45867</v>
      </c>
      <c r="D458" s="2" t="s">
        <v>47</v>
      </c>
      <c r="E458" s="2" t="s">
        <v>1074</v>
      </c>
      <c r="F458" s="2" t="s">
        <v>1075</v>
      </c>
      <c r="G458" s="2" t="s">
        <v>1068</v>
      </c>
      <c r="H458" s="2" t="s">
        <v>45</v>
      </c>
      <c r="I458" s="2" t="s">
        <v>1072</v>
      </c>
    </row>
    <row r="459" customFormat="false" ht="15" hidden="false" customHeight="false" outlineLevel="0" collapsed="false">
      <c r="A459" s="2" t="s">
        <v>1539</v>
      </c>
      <c r="B459" s="2" t="s">
        <v>463</v>
      </c>
      <c r="C459" s="6" t="n">
        <v>45868</v>
      </c>
      <c r="D459" s="2" t="s">
        <v>47</v>
      </c>
      <c r="E459" s="2" t="s">
        <v>1099</v>
      </c>
      <c r="F459" s="2" t="s">
        <v>1075</v>
      </c>
      <c r="G459" s="2" t="s">
        <v>1068</v>
      </c>
      <c r="H459" s="2" t="s">
        <v>37</v>
      </c>
      <c r="I459" s="2" t="s">
        <v>1072</v>
      </c>
    </row>
    <row r="460" customFormat="false" ht="15" hidden="false" customHeight="false" outlineLevel="0" collapsed="false">
      <c r="A460" s="2" t="s">
        <v>1540</v>
      </c>
      <c r="B460" s="2" t="s">
        <v>829</v>
      </c>
      <c r="C460" s="6" t="n">
        <v>45868</v>
      </c>
      <c r="D460" s="2" t="s">
        <v>47</v>
      </c>
      <c r="E460" s="2" t="s">
        <v>1078</v>
      </c>
      <c r="F460" s="2" t="s">
        <v>1075</v>
      </c>
      <c r="G460" s="2" t="s">
        <v>1068</v>
      </c>
      <c r="H460" s="2" t="s">
        <v>45</v>
      </c>
      <c r="I460" s="2" t="s">
        <v>1069</v>
      </c>
    </row>
    <row r="461" customFormat="false" ht="15" hidden="false" customHeight="false" outlineLevel="0" collapsed="false">
      <c r="A461" s="2" t="s">
        <v>1541</v>
      </c>
      <c r="B461" s="2" t="s">
        <v>186</v>
      </c>
      <c r="C461" s="6" t="n">
        <v>45870</v>
      </c>
      <c r="D461" s="2" t="s">
        <v>47</v>
      </c>
      <c r="E461" s="2" t="s">
        <v>1095</v>
      </c>
      <c r="F461" s="2" t="s">
        <v>1075</v>
      </c>
      <c r="G461" s="2" t="s">
        <v>1068</v>
      </c>
      <c r="H461" s="2" t="s">
        <v>45</v>
      </c>
      <c r="I461" s="2" t="s">
        <v>1069</v>
      </c>
    </row>
    <row r="462" customFormat="false" ht="15" hidden="false" customHeight="false" outlineLevel="0" collapsed="false">
      <c r="A462" s="2" t="s">
        <v>1542</v>
      </c>
      <c r="B462" s="2" t="s">
        <v>829</v>
      </c>
      <c r="C462" s="6" t="n">
        <v>45874</v>
      </c>
      <c r="D462" s="2" t="s">
        <v>47</v>
      </c>
      <c r="E462" s="2" t="s">
        <v>1101</v>
      </c>
      <c r="F462" s="2" t="s">
        <v>1067</v>
      </c>
      <c r="G462" s="2" t="s">
        <v>1068</v>
      </c>
      <c r="H462" s="2" t="s">
        <v>45</v>
      </c>
      <c r="I462" s="2" t="s">
        <v>1069</v>
      </c>
    </row>
    <row r="463" customFormat="false" ht="15" hidden="false" customHeight="false" outlineLevel="0" collapsed="false">
      <c r="A463" s="2" t="s">
        <v>1543</v>
      </c>
      <c r="B463" s="2" t="s">
        <v>956</v>
      </c>
      <c r="C463" s="6" t="n">
        <v>45876</v>
      </c>
      <c r="D463" s="2" t="s">
        <v>47</v>
      </c>
      <c r="E463" s="2" t="s">
        <v>1090</v>
      </c>
      <c r="F463" s="2" t="s">
        <v>1067</v>
      </c>
      <c r="G463" s="2" t="s">
        <v>1068</v>
      </c>
      <c r="H463" s="2" t="s">
        <v>45</v>
      </c>
      <c r="I463" s="2" t="s">
        <v>1072</v>
      </c>
    </row>
    <row r="464" customFormat="false" ht="15" hidden="false" customHeight="false" outlineLevel="0" collapsed="false">
      <c r="A464" s="2" t="s">
        <v>1544</v>
      </c>
      <c r="B464" s="2" t="s">
        <v>314</v>
      </c>
      <c r="C464" s="6" t="n">
        <v>45877</v>
      </c>
      <c r="D464" s="2" t="s">
        <v>47</v>
      </c>
      <c r="E464" s="2" t="s">
        <v>1080</v>
      </c>
      <c r="F464" s="2" t="s">
        <v>1067</v>
      </c>
      <c r="G464" s="2" t="s">
        <v>1068</v>
      </c>
      <c r="H464" s="2" t="s">
        <v>37</v>
      </c>
      <c r="I464" s="2" t="s">
        <v>1072</v>
      </c>
    </row>
    <row r="465" customFormat="false" ht="15" hidden="false" customHeight="false" outlineLevel="0" collapsed="false">
      <c r="A465" s="2" t="s">
        <v>1545</v>
      </c>
      <c r="B465" s="2" t="s">
        <v>459</v>
      </c>
      <c r="C465" s="6" t="n">
        <v>45880</v>
      </c>
      <c r="D465" s="2" t="s">
        <v>47</v>
      </c>
      <c r="E465" s="2" t="s">
        <v>1066</v>
      </c>
      <c r="F465" s="2" t="s">
        <v>1067</v>
      </c>
      <c r="G465" s="2" t="s">
        <v>1068</v>
      </c>
      <c r="H465" s="2" t="s">
        <v>45</v>
      </c>
      <c r="I465" s="2" t="s">
        <v>1072</v>
      </c>
    </row>
    <row r="466" customFormat="false" ht="15" hidden="false" customHeight="false" outlineLevel="0" collapsed="false">
      <c r="A466" s="2" t="s">
        <v>1546</v>
      </c>
      <c r="B466" s="2" t="s">
        <v>739</v>
      </c>
      <c r="C466" s="6" t="n">
        <v>45880</v>
      </c>
      <c r="D466" s="2" t="s">
        <v>47</v>
      </c>
      <c r="E466" s="2" t="s">
        <v>1095</v>
      </c>
      <c r="F466" s="2" t="s">
        <v>1075</v>
      </c>
      <c r="G466" s="2" t="s">
        <v>1068</v>
      </c>
      <c r="H466" s="2" t="s">
        <v>45</v>
      </c>
      <c r="I466" s="2" t="s">
        <v>1069</v>
      </c>
    </row>
    <row r="467" customFormat="false" ht="15" hidden="false" customHeight="false" outlineLevel="0" collapsed="false">
      <c r="A467" s="2" t="s">
        <v>1547</v>
      </c>
      <c r="B467" s="2" t="s">
        <v>928</v>
      </c>
      <c r="C467" s="6" t="n">
        <v>45881</v>
      </c>
      <c r="D467" s="2" t="s">
        <v>47</v>
      </c>
      <c r="E467" s="2" t="s">
        <v>1080</v>
      </c>
      <c r="F467" s="2" t="s">
        <v>1067</v>
      </c>
      <c r="G467" s="2" t="s">
        <v>1068</v>
      </c>
      <c r="H467" s="2" t="s">
        <v>57</v>
      </c>
      <c r="I467" s="2" t="s">
        <v>1072</v>
      </c>
    </row>
    <row r="468" customFormat="false" ht="15" hidden="false" customHeight="false" outlineLevel="0" collapsed="false">
      <c r="A468" s="2" t="s">
        <v>1548</v>
      </c>
      <c r="B468" s="2" t="s">
        <v>790</v>
      </c>
      <c r="C468" s="6" t="n">
        <v>45883</v>
      </c>
      <c r="D468" s="2" t="s">
        <v>47</v>
      </c>
      <c r="E468" s="2" t="s">
        <v>1101</v>
      </c>
      <c r="F468" s="2" t="s">
        <v>1067</v>
      </c>
      <c r="G468" s="2" t="s">
        <v>1068</v>
      </c>
      <c r="H468" s="2" t="s">
        <v>37</v>
      </c>
      <c r="I468" s="2" t="s">
        <v>1072</v>
      </c>
    </row>
    <row r="469" customFormat="false" ht="15" hidden="false" customHeight="false" outlineLevel="0" collapsed="false">
      <c r="A469" s="2" t="s">
        <v>1549</v>
      </c>
      <c r="B469" s="2" t="s">
        <v>1002</v>
      </c>
      <c r="C469" s="6" t="n">
        <v>45883</v>
      </c>
      <c r="D469" s="2" t="s">
        <v>47</v>
      </c>
      <c r="E469" s="2" t="s">
        <v>1074</v>
      </c>
      <c r="F469" s="2" t="s">
        <v>1075</v>
      </c>
      <c r="G469" s="2" t="s">
        <v>1068</v>
      </c>
      <c r="H469" s="2" t="s">
        <v>37</v>
      </c>
      <c r="I469" s="2" t="s">
        <v>1069</v>
      </c>
    </row>
    <row r="470" customFormat="false" ht="15" hidden="false" customHeight="false" outlineLevel="0" collapsed="false">
      <c r="A470" s="2" t="s">
        <v>1550</v>
      </c>
      <c r="B470" s="2" t="s">
        <v>1026</v>
      </c>
      <c r="C470" s="6" t="n">
        <v>45883</v>
      </c>
      <c r="D470" s="2" t="s">
        <v>47</v>
      </c>
      <c r="E470" s="2" t="s">
        <v>1099</v>
      </c>
      <c r="F470" s="2" t="s">
        <v>1075</v>
      </c>
      <c r="G470" s="2" t="s">
        <v>1068</v>
      </c>
      <c r="H470" s="2" t="s">
        <v>37</v>
      </c>
      <c r="I470" s="2" t="s">
        <v>1069</v>
      </c>
    </row>
    <row r="471" customFormat="false" ht="15" hidden="false" customHeight="false" outlineLevel="0" collapsed="false">
      <c r="A471" s="2" t="s">
        <v>1551</v>
      </c>
      <c r="B471" s="2" t="s">
        <v>493</v>
      </c>
      <c r="C471" s="6" t="n">
        <v>45884</v>
      </c>
      <c r="D471" s="2" t="s">
        <v>47</v>
      </c>
      <c r="E471" s="2" t="s">
        <v>1078</v>
      </c>
      <c r="F471" s="2" t="s">
        <v>1075</v>
      </c>
      <c r="G471" s="2" t="s">
        <v>1068</v>
      </c>
      <c r="H471" s="2" t="s">
        <v>45</v>
      </c>
      <c r="I471" s="2" t="s">
        <v>1069</v>
      </c>
    </row>
    <row r="472" customFormat="false" ht="15" hidden="false" customHeight="false" outlineLevel="0" collapsed="false">
      <c r="A472" s="2" t="s">
        <v>1552</v>
      </c>
      <c r="B472" s="2" t="s">
        <v>560</v>
      </c>
      <c r="C472" s="6" t="n">
        <v>45884</v>
      </c>
      <c r="D472" s="2" t="s">
        <v>47</v>
      </c>
      <c r="E472" s="2" t="s">
        <v>1101</v>
      </c>
      <c r="F472" s="2" t="s">
        <v>1067</v>
      </c>
      <c r="G472" s="2" t="s">
        <v>1068</v>
      </c>
      <c r="H472" s="2" t="s">
        <v>37</v>
      </c>
      <c r="I472" s="2" t="s">
        <v>1069</v>
      </c>
    </row>
    <row r="473" customFormat="false" ht="15" hidden="false" customHeight="false" outlineLevel="0" collapsed="false">
      <c r="A473" s="2" t="s">
        <v>1553</v>
      </c>
      <c r="B473" s="2" t="s">
        <v>805</v>
      </c>
      <c r="C473" s="6" t="n">
        <v>45887</v>
      </c>
      <c r="D473" s="2" t="s">
        <v>47</v>
      </c>
      <c r="E473" s="2" t="s">
        <v>1101</v>
      </c>
      <c r="F473" s="2" t="s">
        <v>1067</v>
      </c>
      <c r="G473" s="2" t="s">
        <v>1085</v>
      </c>
      <c r="H473" s="2" t="s">
        <v>67</v>
      </c>
      <c r="I473" s="2" t="s">
        <v>1072</v>
      </c>
    </row>
    <row r="474" customFormat="false" ht="15" hidden="false" customHeight="false" outlineLevel="0" collapsed="false">
      <c r="A474" s="2" t="s">
        <v>1554</v>
      </c>
      <c r="B474" s="2" t="s">
        <v>808</v>
      </c>
      <c r="C474" s="6" t="n">
        <v>45888</v>
      </c>
      <c r="D474" s="2" t="s">
        <v>47</v>
      </c>
      <c r="E474" s="2" t="s">
        <v>1080</v>
      </c>
      <c r="F474" s="2" t="s">
        <v>1067</v>
      </c>
      <c r="G474" s="2" t="s">
        <v>1085</v>
      </c>
      <c r="H474" s="2" t="s">
        <v>67</v>
      </c>
      <c r="I474" s="2" t="s">
        <v>1069</v>
      </c>
    </row>
    <row r="475" customFormat="false" ht="15" hidden="false" customHeight="false" outlineLevel="0" collapsed="false">
      <c r="A475" s="2" t="s">
        <v>1555</v>
      </c>
      <c r="B475" s="2" t="s">
        <v>937</v>
      </c>
      <c r="C475" s="6" t="n">
        <v>45891</v>
      </c>
      <c r="D475" s="2" t="s">
        <v>47</v>
      </c>
      <c r="E475" s="2" t="s">
        <v>1095</v>
      </c>
      <c r="F475" s="2" t="s">
        <v>1075</v>
      </c>
      <c r="G475" s="2" t="s">
        <v>1068</v>
      </c>
      <c r="H475" s="2" t="s">
        <v>57</v>
      </c>
      <c r="I475" s="2" t="s">
        <v>1072</v>
      </c>
    </row>
    <row r="476" customFormat="false" ht="15" hidden="false" customHeight="false" outlineLevel="0" collapsed="false">
      <c r="A476" s="2" t="s">
        <v>1556</v>
      </c>
      <c r="B476" s="2" t="s">
        <v>1052</v>
      </c>
      <c r="C476" s="6" t="n">
        <v>45895</v>
      </c>
      <c r="D476" s="2" t="s">
        <v>47</v>
      </c>
      <c r="E476" s="2" t="s">
        <v>1101</v>
      </c>
      <c r="F476" s="2" t="s">
        <v>1067</v>
      </c>
      <c r="G476" s="2" t="s">
        <v>1068</v>
      </c>
      <c r="H476" s="2" t="s">
        <v>45</v>
      </c>
      <c r="I476" s="2" t="s">
        <v>1069</v>
      </c>
    </row>
    <row r="477" customFormat="false" ht="15" hidden="false" customHeight="false" outlineLevel="0" collapsed="false">
      <c r="A477" s="2" t="s">
        <v>1557</v>
      </c>
      <c r="B477" s="2" t="s">
        <v>167</v>
      </c>
      <c r="C477" s="6" t="n">
        <v>45896</v>
      </c>
      <c r="D477" s="2" t="s">
        <v>47</v>
      </c>
      <c r="E477" s="2" t="s">
        <v>1114</v>
      </c>
      <c r="F477" s="2" t="s">
        <v>1075</v>
      </c>
      <c r="G477" s="2" t="s">
        <v>1068</v>
      </c>
      <c r="H477" s="2" t="s">
        <v>45</v>
      </c>
      <c r="I477" s="2" t="s">
        <v>1069</v>
      </c>
    </row>
    <row r="478" customFormat="false" ht="15" hidden="false" customHeight="false" outlineLevel="0" collapsed="false">
      <c r="A478" s="2" t="s">
        <v>1558</v>
      </c>
      <c r="B478" s="2" t="s">
        <v>775</v>
      </c>
      <c r="C478" s="6" t="n">
        <v>45901</v>
      </c>
      <c r="D478" s="2" t="s">
        <v>47</v>
      </c>
      <c r="E478" s="2" t="s">
        <v>1114</v>
      </c>
      <c r="F478" s="2" t="s">
        <v>1075</v>
      </c>
      <c r="G478" s="2" t="s">
        <v>1068</v>
      </c>
      <c r="H478" s="2" t="s">
        <v>57</v>
      </c>
      <c r="I478" s="2" t="s">
        <v>1072</v>
      </c>
    </row>
    <row r="479" customFormat="false" ht="15" hidden="false" customHeight="false" outlineLevel="0" collapsed="false">
      <c r="A479" s="2" t="s">
        <v>1559</v>
      </c>
      <c r="B479" s="2" t="s">
        <v>775</v>
      </c>
      <c r="C479" s="6" t="n">
        <v>45901</v>
      </c>
      <c r="D479" s="2" t="s">
        <v>47</v>
      </c>
      <c r="E479" s="2" t="s">
        <v>1099</v>
      </c>
      <c r="F479" s="2" t="s">
        <v>1075</v>
      </c>
      <c r="G479" s="2" t="s">
        <v>1068</v>
      </c>
      <c r="H479" s="2" t="s">
        <v>45</v>
      </c>
      <c r="I479" s="2" t="s">
        <v>1072</v>
      </c>
    </row>
    <row r="480" customFormat="false" ht="15" hidden="false" customHeight="false" outlineLevel="0" collapsed="false">
      <c r="A480" s="2" t="s">
        <v>1560</v>
      </c>
      <c r="B480" s="2" t="s">
        <v>879</v>
      </c>
      <c r="C480" s="6" t="n">
        <v>45904</v>
      </c>
      <c r="D480" s="2" t="s">
        <v>47</v>
      </c>
      <c r="E480" s="2" t="s">
        <v>1101</v>
      </c>
      <c r="F480" s="2" t="s">
        <v>1067</v>
      </c>
      <c r="G480" s="2" t="s">
        <v>1068</v>
      </c>
      <c r="H480" s="2" t="s">
        <v>45</v>
      </c>
      <c r="I480" s="2" t="s">
        <v>1069</v>
      </c>
    </row>
    <row r="481" customFormat="false" ht="15" hidden="false" customHeight="false" outlineLevel="0" collapsed="false">
      <c r="A481" s="2" t="s">
        <v>1561</v>
      </c>
      <c r="B481" s="2" t="s">
        <v>294</v>
      </c>
      <c r="C481" s="6" t="n">
        <v>45905</v>
      </c>
      <c r="D481" s="2" t="s">
        <v>47</v>
      </c>
      <c r="E481" s="2" t="s">
        <v>1095</v>
      </c>
      <c r="F481" s="2" t="s">
        <v>1075</v>
      </c>
      <c r="G481" s="2" t="s">
        <v>1068</v>
      </c>
      <c r="H481" s="2" t="s">
        <v>45</v>
      </c>
      <c r="I481" s="2" t="s">
        <v>1069</v>
      </c>
    </row>
    <row r="482" customFormat="false" ht="15" hidden="false" customHeight="false" outlineLevel="0" collapsed="false">
      <c r="A482" s="2" t="s">
        <v>1562</v>
      </c>
      <c r="B482" s="2" t="s">
        <v>1002</v>
      </c>
      <c r="C482" s="6" t="n">
        <v>45908</v>
      </c>
      <c r="D482" s="2" t="s">
        <v>47</v>
      </c>
      <c r="E482" s="2" t="s">
        <v>1074</v>
      </c>
      <c r="F482" s="2" t="s">
        <v>1075</v>
      </c>
      <c r="G482" s="2" t="s">
        <v>1068</v>
      </c>
      <c r="H482" s="2" t="s">
        <v>45</v>
      </c>
      <c r="I482" s="2" t="s">
        <v>1093</v>
      </c>
    </row>
    <row r="483" customFormat="false" ht="15" hidden="false" customHeight="false" outlineLevel="0" collapsed="false">
      <c r="A483" s="2" t="s">
        <v>1563</v>
      </c>
      <c r="B483" s="2" t="s">
        <v>88</v>
      </c>
      <c r="C483" s="6" t="n">
        <v>45910</v>
      </c>
      <c r="D483" s="2" t="s">
        <v>47</v>
      </c>
      <c r="E483" s="2" t="s">
        <v>1090</v>
      </c>
      <c r="F483" s="2" t="s">
        <v>1067</v>
      </c>
      <c r="G483" s="2" t="s">
        <v>1068</v>
      </c>
      <c r="H483" s="2" t="s">
        <v>37</v>
      </c>
      <c r="I483" s="2" t="s">
        <v>1072</v>
      </c>
    </row>
    <row r="484" customFormat="false" ht="15" hidden="false" customHeight="false" outlineLevel="0" collapsed="false">
      <c r="A484" s="2" t="s">
        <v>1564</v>
      </c>
      <c r="B484" s="2" t="s">
        <v>248</v>
      </c>
      <c r="C484" s="6" t="n">
        <v>45911</v>
      </c>
      <c r="D484" s="2" t="s">
        <v>47</v>
      </c>
      <c r="E484" s="2" t="s">
        <v>1114</v>
      </c>
      <c r="F484" s="2" t="s">
        <v>1075</v>
      </c>
      <c r="G484" s="2" t="s">
        <v>1068</v>
      </c>
      <c r="H484" s="2" t="s">
        <v>37</v>
      </c>
      <c r="I484" s="2" t="s">
        <v>1069</v>
      </c>
    </row>
    <row r="485" customFormat="false" ht="15" hidden="false" customHeight="false" outlineLevel="0" collapsed="false">
      <c r="A485" s="2" t="s">
        <v>1565</v>
      </c>
      <c r="B485" s="2" t="s">
        <v>147</v>
      </c>
      <c r="C485" s="6" t="n">
        <v>45915</v>
      </c>
      <c r="D485" s="2" t="s">
        <v>47</v>
      </c>
      <c r="E485" s="2" t="s">
        <v>1080</v>
      </c>
      <c r="F485" s="2" t="s">
        <v>1067</v>
      </c>
      <c r="G485" s="2" t="s">
        <v>1068</v>
      </c>
      <c r="H485" s="2" t="s">
        <v>45</v>
      </c>
      <c r="I485" s="2" t="s">
        <v>1069</v>
      </c>
    </row>
    <row r="486" customFormat="false" ht="15" hidden="false" customHeight="false" outlineLevel="0" collapsed="false">
      <c r="A486" s="2" t="s">
        <v>1566</v>
      </c>
      <c r="B486" s="2" t="s">
        <v>844</v>
      </c>
      <c r="C486" s="6" t="n">
        <v>45916</v>
      </c>
      <c r="D486" s="2" t="s">
        <v>47</v>
      </c>
      <c r="E486" s="2" t="s">
        <v>1074</v>
      </c>
      <c r="F486" s="2" t="s">
        <v>1075</v>
      </c>
      <c r="G486" s="2" t="s">
        <v>1068</v>
      </c>
      <c r="H486" s="2" t="s">
        <v>37</v>
      </c>
      <c r="I486" s="2" t="s">
        <v>1093</v>
      </c>
    </row>
    <row r="487" customFormat="false" ht="15" hidden="false" customHeight="false" outlineLevel="0" collapsed="false">
      <c r="A487" s="2" t="s">
        <v>1567</v>
      </c>
      <c r="B487" s="2" t="s">
        <v>151</v>
      </c>
      <c r="C487" s="6" t="n">
        <v>45917</v>
      </c>
      <c r="D487" s="2" t="s">
        <v>47</v>
      </c>
      <c r="E487" s="2" t="s">
        <v>1074</v>
      </c>
      <c r="F487" s="2" t="s">
        <v>1075</v>
      </c>
      <c r="G487" s="2" t="s">
        <v>1068</v>
      </c>
      <c r="H487" s="2" t="s">
        <v>37</v>
      </c>
      <c r="I487" s="2" t="s">
        <v>1093</v>
      </c>
    </row>
    <row r="488" customFormat="false" ht="15" hidden="false" customHeight="false" outlineLevel="0" collapsed="false">
      <c r="A488" s="2" t="s">
        <v>1568</v>
      </c>
      <c r="B488" s="2" t="s">
        <v>864</v>
      </c>
      <c r="C488" s="6" t="n">
        <v>45918</v>
      </c>
      <c r="D488" s="2" t="s">
        <v>47</v>
      </c>
      <c r="E488" s="2" t="s">
        <v>1099</v>
      </c>
      <c r="F488" s="2" t="s">
        <v>1075</v>
      </c>
      <c r="G488" s="2" t="s">
        <v>1068</v>
      </c>
      <c r="H488" s="2" t="s">
        <v>45</v>
      </c>
      <c r="I488" s="2" t="s">
        <v>1069</v>
      </c>
    </row>
    <row r="489" customFormat="false" ht="15" hidden="false" customHeight="false" outlineLevel="0" collapsed="false">
      <c r="A489" s="2" t="s">
        <v>1569</v>
      </c>
      <c r="B489" s="2" t="s">
        <v>722</v>
      </c>
      <c r="C489" s="6" t="n">
        <v>45926</v>
      </c>
      <c r="D489" s="2" t="s">
        <v>47</v>
      </c>
      <c r="E489" s="2" t="s">
        <v>1066</v>
      </c>
      <c r="F489" s="2" t="s">
        <v>1067</v>
      </c>
      <c r="G489" s="2" t="s">
        <v>1085</v>
      </c>
      <c r="H489" s="2" t="s">
        <v>67</v>
      </c>
      <c r="I489" s="2" t="s">
        <v>1069</v>
      </c>
    </row>
    <row r="490" customFormat="false" ht="15" hidden="false" customHeight="false" outlineLevel="0" collapsed="false">
      <c r="A490" s="2" t="s">
        <v>1570</v>
      </c>
      <c r="B490" s="2" t="s">
        <v>1030</v>
      </c>
      <c r="C490" s="6" t="n">
        <v>45929</v>
      </c>
      <c r="D490" s="2" t="s">
        <v>47</v>
      </c>
      <c r="E490" s="2" t="s">
        <v>1066</v>
      </c>
      <c r="F490" s="2" t="s">
        <v>1067</v>
      </c>
      <c r="G490" s="2" t="s">
        <v>1068</v>
      </c>
      <c r="H490" s="2" t="s">
        <v>57</v>
      </c>
      <c r="I490" s="2" t="s">
        <v>1072</v>
      </c>
    </row>
    <row r="491" customFormat="false" ht="15" hidden="false" customHeight="false" outlineLevel="0" collapsed="false">
      <c r="A491" s="2" t="s">
        <v>1571</v>
      </c>
      <c r="B491" s="2" t="s">
        <v>560</v>
      </c>
      <c r="C491" s="6" t="n">
        <v>45932</v>
      </c>
      <c r="D491" s="2" t="s">
        <v>47</v>
      </c>
      <c r="E491" s="2" t="s">
        <v>1074</v>
      </c>
      <c r="F491" s="2" t="s">
        <v>1075</v>
      </c>
      <c r="G491" s="2" t="s">
        <v>1068</v>
      </c>
      <c r="H491" s="2" t="s">
        <v>45</v>
      </c>
      <c r="I491" s="2" t="s">
        <v>1072</v>
      </c>
    </row>
    <row r="492" customFormat="false" ht="15" hidden="false" customHeight="false" outlineLevel="0" collapsed="false">
      <c r="A492" s="2" t="s">
        <v>1572</v>
      </c>
      <c r="B492" s="2" t="s">
        <v>879</v>
      </c>
      <c r="C492" s="6" t="n">
        <v>45932</v>
      </c>
      <c r="D492" s="2" t="s">
        <v>47</v>
      </c>
      <c r="E492" s="2" t="s">
        <v>1066</v>
      </c>
      <c r="F492" s="2" t="s">
        <v>1067</v>
      </c>
      <c r="G492" s="2" t="s">
        <v>1068</v>
      </c>
      <c r="H492" s="2" t="s">
        <v>45</v>
      </c>
      <c r="I492" s="2" t="s">
        <v>1072</v>
      </c>
    </row>
    <row r="493" customFormat="false" ht="15" hidden="false" customHeight="false" outlineLevel="0" collapsed="false">
      <c r="A493" s="2" t="s">
        <v>1573</v>
      </c>
      <c r="B493" s="2" t="s">
        <v>829</v>
      </c>
      <c r="C493" s="6" t="n">
        <v>45933</v>
      </c>
      <c r="D493" s="2" t="s">
        <v>47</v>
      </c>
      <c r="E493" s="2" t="s">
        <v>1101</v>
      </c>
      <c r="F493" s="2" t="s">
        <v>1067</v>
      </c>
      <c r="G493" s="2" t="s">
        <v>1085</v>
      </c>
      <c r="H493" s="2" t="s">
        <v>67</v>
      </c>
      <c r="I493" s="2" t="s">
        <v>1093</v>
      </c>
    </row>
    <row r="494" customFormat="false" ht="15" hidden="false" customHeight="false" outlineLevel="0" collapsed="false">
      <c r="A494" s="2" t="s">
        <v>1574</v>
      </c>
      <c r="B494" s="2" t="s">
        <v>463</v>
      </c>
      <c r="C494" s="6" t="n">
        <v>45937</v>
      </c>
      <c r="D494" s="2" t="s">
        <v>47</v>
      </c>
      <c r="E494" s="2" t="s">
        <v>1090</v>
      </c>
      <c r="F494" s="2" t="s">
        <v>1067</v>
      </c>
      <c r="G494" s="2" t="s">
        <v>1068</v>
      </c>
      <c r="H494" s="2" t="s">
        <v>45</v>
      </c>
      <c r="I494" s="2" t="s">
        <v>1069</v>
      </c>
    </row>
    <row r="495" customFormat="false" ht="15" hidden="false" customHeight="false" outlineLevel="0" collapsed="false">
      <c r="A495" s="2" t="s">
        <v>1575</v>
      </c>
      <c r="B495" s="2" t="s">
        <v>962</v>
      </c>
      <c r="C495" s="6" t="n">
        <v>45939</v>
      </c>
      <c r="D495" s="2" t="s">
        <v>47</v>
      </c>
      <c r="E495" s="2" t="s">
        <v>1101</v>
      </c>
      <c r="F495" s="2" t="s">
        <v>1067</v>
      </c>
      <c r="G495" s="2" t="s">
        <v>1085</v>
      </c>
      <c r="H495" s="2" t="s">
        <v>67</v>
      </c>
      <c r="I495" s="2" t="s">
        <v>1072</v>
      </c>
    </row>
    <row r="496" customFormat="false" ht="15" hidden="false" customHeight="false" outlineLevel="0" collapsed="false">
      <c r="A496" s="2" t="s">
        <v>1576</v>
      </c>
      <c r="B496" s="2" t="s">
        <v>988</v>
      </c>
      <c r="C496" s="6" t="n">
        <v>45939</v>
      </c>
      <c r="D496" s="2" t="s">
        <v>47</v>
      </c>
      <c r="E496" s="2" t="s">
        <v>1101</v>
      </c>
      <c r="F496" s="2" t="s">
        <v>1067</v>
      </c>
      <c r="G496" s="2" t="s">
        <v>1068</v>
      </c>
      <c r="H496" s="2" t="s">
        <v>57</v>
      </c>
      <c r="I496" s="2" t="s">
        <v>1093</v>
      </c>
    </row>
    <row r="497" customFormat="false" ht="15" hidden="false" customHeight="false" outlineLevel="0" collapsed="false">
      <c r="A497" s="2" t="s">
        <v>1577</v>
      </c>
      <c r="B497" s="2" t="s">
        <v>925</v>
      </c>
      <c r="C497" s="6" t="n">
        <v>45940</v>
      </c>
      <c r="D497" s="2" t="s">
        <v>47</v>
      </c>
      <c r="E497" s="2" t="s">
        <v>1090</v>
      </c>
      <c r="F497" s="2" t="s">
        <v>1067</v>
      </c>
      <c r="G497" s="2" t="s">
        <v>1068</v>
      </c>
      <c r="H497" s="2" t="s">
        <v>37</v>
      </c>
      <c r="I497" s="2" t="s">
        <v>1069</v>
      </c>
    </row>
    <row r="498" customFormat="false" ht="15" hidden="false" customHeight="false" outlineLevel="0" collapsed="false">
      <c r="A498" s="2" t="s">
        <v>1578</v>
      </c>
      <c r="B498" s="2" t="s">
        <v>328</v>
      </c>
      <c r="C498" s="6" t="n">
        <v>45943</v>
      </c>
      <c r="D498" s="2" t="s">
        <v>47</v>
      </c>
      <c r="E498" s="2" t="s">
        <v>1101</v>
      </c>
      <c r="F498" s="2" t="s">
        <v>1067</v>
      </c>
      <c r="G498" s="2" t="s">
        <v>1085</v>
      </c>
      <c r="H498" s="2" t="s">
        <v>67</v>
      </c>
      <c r="I498" s="2" t="s">
        <v>1069</v>
      </c>
    </row>
    <row r="499" customFormat="false" ht="15" hidden="false" customHeight="false" outlineLevel="0" collapsed="false">
      <c r="A499" s="2" t="s">
        <v>1579</v>
      </c>
      <c r="B499" s="2" t="s">
        <v>1018</v>
      </c>
      <c r="C499" s="6" t="n">
        <v>45944</v>
      </c>
      <c r="D499" s="2" t="s">
        <v>47</v>
      </c>
      <c r="E499" s="2" t="s">
        <v>1099</v>
      </c>
      <c r="F499" s="2" t="s">
        <v>1075</v>
      </c>
      <c r="G499" s="2" t="s">
        <v>1068</v>
      </c>
      <c r="H499" s="2" t="s">
        <v>45</v>
      </c>
      <c r="I499" s="2" t="s">
        <v>1069</v>
      </c>
    </row>
    <row r="500" customFormat="false" ht="15" hidden="false" customHeight="false" outlineLevel="0" collapsed="false">
      <c r="A500" s="2" t="s">
        <v>1580</v>
      </c>
      <c r="B500" s="2" t="s">
        <v>808</v>
      </c>
      <c r="C500" s="6" t="n">
        <v>45945</v>
      </c>
      <c r="D500" s="2" t="s">
        <v>47</v>
      </c>
      <c r="E500" s="2" t="s">
        <v>1078</v>
      </c>
      <c r="F500" s="2" t="s">
        <v>1075</v>
      </c>
      <c r="G500" s="2" t="s">
        <v>1068</v>
      </c>
      <c r="H500" s="2" t="s">
        <v>45</v>
      </c>
      <c r="I500" s="2" t="s">
        <v>1093</v>
      </c>
    </row>
    <row r="501" customFormat="false" ht="15" hidden="false" customHeight="false" outlineLevel="0" collapsed="false">
      <c r="A501" s="2" t="s">
        <v>1581</v>
      </c>
      <c r="B501" s="2" t="s">
        <v>294</v>
      </c>
      <c r="C501" s="6" t="n">
        <v>45946</v>
      </c>
      <c r="D501" s="2" t="s">
        <v>47</v>
      </c>
      <c r="E501" s="2" t="s">
        <v>1074</v>
      </c>
      <c r="F501" s="2" t="s">
        <v>1075</v>
      </c>
      <c r="G501" s="2" t="s">
        <v>1068</v>
      </c>
      <c r="H501" s="2" t="s">
        <v>57</v>
      </c>
      <c r="I501" s="2" t="s">
        <v>1072</v>
      </c>
    </row>
    <row r="502" customFormat="false" ht="15" hidden="false" customHeight="false" outlineLevel="0" collapsed="false">
      <c r="A502" s="2" t="s">
        <v>1582</v>
      </c>
      <c r="B502" s="2" t="s">
        <v>931</v>
      </c>
      <c r="C502" s="6" t="n">
        <v>45947</v>
      </c>
      <c r="D502" s="2" t="s">
        <v>47</v>
      </c>
      <c r="E502" s="2" t="s">
        <v>1114</v>
      </c>
      <c r="F502" s="2" t="s">
        <v>1075</v>
      </c>
      <c r="G502" s="2" t="s">
        <v>1068</v>
      </c>
      <c r="H502" s="2" t="s">
        <v>37</v>
      </c>
      <c r="I502" s="2" t="s">
        <v>1069</v>
      </c>
    </row>
    <row r="503" customFormat="false" ht="15" hidden="false" customHeight="false" outlineLevel="0" collapsed="false">
      <c r="A503" s="2" t="s">
        <v>1583</v>
      </c>
      <c r="B503" s="2" t="s">
        <v>790</v>
      </c>
      <c r="C503" s="6" t="n">
        <v>45950</v>
      </c>
      <c r="D503" s="2" t="s">
        <v>47</v>
      </c>
      <c r="E503" s="2" t="s">
        <v>1090</v>
      </c>
      <c r="F503" s="2" t="s">
        <v>1067</v>
      </c>
      <c r="G503" s="2" t="s">
        <v>1068</v>
      </c>
      <c r="H503" s="2" t="s">
        <v>45</v>
      </c>
      <c r="I503" s="2" t="s">
        <v>1093</v>
      </c>
    </row>
    <row r="504" customFormat="false" ht="15" hidden="false" customHeight="false" outlineLevel="0" collapsed="false">
      <c r="A504" s="2" t="s">
        <v>1584</v>
      </c>
      <c r="B504" s="2" t="s">
        <v>463</v>
      </c>
      <c r="C504" s="6" t="n">
        <v>45952</v>
      </c>
      <c r="D504" s="2" t="s">
        <v>47</v>
      </c>
      <c r="E504" s="2" t="s">
        <v>1090</v>
      </c>
      <c r="F504" s="2" t="s">
        <v>1067</v>
      </c>
      <c r="G504" s="2" t="s">
        <v>1068</v>
      </c>
      <c r="H504" s="2" t="s">
        <v>57</v>
      </c>
      <c r="I504" s="2" t="s">
        <v>1069</v>
      </c>
    </row>
    <row r="505" customFormat="false" ht="15" hidden="false" customHeight="false" outlineLevel="0" collapsed="false">
      <c r="A505" s="2" t="s">
        <v>1585</v>
      </c>
      <c r="B505" s="2" t="s">
        <v>88</v>
      </c>
      <c r="C505" s="6" t="n">
        <v>45954</v>
      </c>
      <c r="D505" s="2" t="s">
        <v>47</v>
      </c>
      <c r="E505" s="2" t="s">
        <v>1095</v>
      </c>
      <c r="F505" s="2" t="s">
        <v>1075</v>
      </c>
      <c r="G505" s="2" t="s">
        <v>1068</v>
      </c>
      <c r="H505" s="2" t="s">
        <v>45</v>
      </c>
      <c r="I505" s="2" t="s">
        <v>1072</v>
      </c>
    </row>
    <row r="506" customFormat="false" ht="15" hidden="false" customHeight="false" outlineLevel="0" collapsed="false">
      <c r="A506" s="2" t="s">
        <v>1586</v>
      </c>
      <c r="B506" s="2" t="s">
        <v>346</v>
      </c>
      <c r="C506" s="6" t="n">
        <v>45954</v>
      </c>
      <c r="D506" s="2" t="s">
        <v>47</v>
      </c>
      <c r="E506" s="2" t="s">
        <v>1080</v>
      </c>
      <c r="F506" s="2" t="s">
        <v>1067</v>
      </c>
      <c r="G506" s="2" t="s">
        <v>1068</v>
      </c>
      <c r="H506" s="2" t="s">
        <v>45</v>
      </c>
      <c r="I506" s="2" t="s">
        <v>1093</v>
      </c>
    </row>
    <row r="507" customFormat="false" ht="15" hidden="false" customHeight="false" outlineLevel="0" collapsed="false">
      <c r="A507" s="2" t="s">
        <v>1587</v>
      </c>
      <c r="B507" s="2" t="s">
        <v>1014</v>
      </c>
      <c r="C507" s="6" t="n">
        <v>45954</v>
      </c>
      <c r="D507" s="2" t="s">
        <v>47</v>
      </c>
      <c r="E507" s="2" t="s">
        <v>1101</v>
      </c>
      <c r="F507" s="2" t="s">
        <v>1067</v>
      </c>
      <c r="G507" s="2" t="s">
        <v>1068</v>
      </c>
      <c r="H507" s="2" t="s">
        <v>45</v>
      </c>
      <c r="I507" s="2" t="s">
        <v>1069</v>
      </c>
    </row>
    <row r="508" customFormat="false" ht="15" hidden="false" customHeight="false" outlineLevel="0" collapsed="false">
      <c r="A508" s="2" t="s">
        <v>1588</v>
      </c>
      <c r="B508" s="2" t="s">
        <v>1034</v>
      </c>
      <c r="C508" s="6" t="n">
        <v>45954</v>
      </c>
      <c r="D508" s="2" t="s">
        <v>47</v>
      </c>
      <c r="E508" s="2" t="s">
        <v>1078</v>
      </c>
      <c r="F508" s="2" t="s">
        <v>1075</v>
      </c>
      <c r="G508" s="2" t="s">
        <v>1068</v>
      </c>
      <c r="H508" s="2" t="s">
        <v>45</v>
      </c>
      <c r="I508" s="2" t="s">
        <v>1069</v>
      </c>
    </row>
    <row r="509" customFormat="false" ht="15" hidden="false" customHeight="false" outlineLevel="0" collapsed="false">
      <c r="A509" s="2" t="s">
        <v>1589</v>
      </c>
      <c r="B509" s="2" t="s">
        <v>1048</v>
      </c>
      <c r="C509" s="6" t="n">
        <v>45958</v>
      </c>
      <c r="D509" s="2" t="s">
        <v>47</v>
      </c>
      <c r="E509" s="2" t="s">
        <v>1066</v>
      </c>
      <c r="F509" s="2" t="s">
        <v>1067</v>
      </c>
      <c r="G509" s="2" t="s">
        <v>1068</v>
      </c>
      <c r="H509" s="2" t="s">
        <v>45</v>
      </c>
      <c r="I509" s="2" t="s">
        <v>1069</v>
      </c>
    </row>
    <row r="510" customFormat="false" ht="15" hidden="false" customHeight="false" outlineLevel="0" collapsed="false">
      <c r="A510" s="2" t="s">
        <v>1590</v>
      </c>
      <c r="B510" s="2" t="s">
        <v>844</v>
      </c>
      <c r="C510" s="6" t="n">
        <v>45960</v>
      </c>
      <c r="D510" s="2" t="s">
        <v>47</v>
      </c>
      <c r="E510" s="2" t="s">
        <v>1095</v>
      </c>
      <c r="F510" s="2" t="s">
        <v>1075</v>
      </c>
      <c r="G510" s="2" t="s">
        <v>1068</v>
      </c>
      <c r="H510" s="2" t="s">
        <v>57</v>
      </c>
      <c r="I510" s="2" t="s">
        <v>1069</v>
      </c>
    </row>
    <row r="511" customFormat="false" ht="15" hidden="false" customHeight="false" outlineLevel="0" collapsed="false">
      <c r="A511" s="2" t="s">
        <v>1591</v>
      </c>
      <c r="B511" s="2" t="s">
        <v>1000</v>
      </c>
      <c r="C511" s="6" t="n">
        <v>45960</v>
      </c>
      <c r="D511" s="2" t="s">
        <v>47</v>
      </c>
      <c r="E511" s="2" t="s">
        <v>1071</v>
      </c>
      <c r="F511" s="2" t="s">
        <v>1067</v>
      </c>
      <c r="G511" s="2" t="s">
        <v>1085</v>
      </c>
      <c r="H511" s="2" t="s">
        <v>67</v>
      </c>
      <c r="I511" s="2" t="s">
        <v>1069</v>
      </c>
    </row>
    <row r="512" customFormat="false" ht="15" hidden="false" customHeight="false" outlineLevel="0" collapsed="false">
      <c r="A512" s="2" t="s">
        <v>1592</v>
      </c>
      <c r="B512" s="2" t="s">
        <v>157</v>
      </c>
      <c r="C512" s="6" t="n">
        <v>45961</v>
      </c>
      <c r="D512" s="2" t="s">
        <v>47</v>
      </c>
      <c r="E512" s="2" t="s">
        <v>1071</v>
      </c>
      <c r="F512" s="2" t="s">
        <v>1067</v>
      </c>
      <c r="G512" s="2" t="s">
        <v>1068</v>
      </c>
      <c r="H512" s="2" t="s">
        <v>37</v>
      </c>
      <c r="I512" s="2" t="s">
        <v>1069</v>
      </c>
    </row>
    <row r="513" customFormat="false" ht="15" hidden="false" customHeight="false" outlineLevel="0" collapsed="false">
      <c r="A513" s="2" t="s">
        <v>1593</v>
      </c>
      <c r="B513" s="2" t="s">
        <v>838</v>
      </c>
      <c r="C513" s="6" t="n">
        <v>45961</v>
      </c>
      <c r="D513" s="2" t="s">
        <v>47</v>
      </c>
      <c r="E513" s="2" t="s">
        <v>1080</v>
      </c>
      <c r="F513" s="2" t="s">
        <v>1067</v>
      </c>
      <c r="G513" s="2" t="s">
        <v>1068</v>
      </c>
      <c r="H513" s="2" t="s">
        <v>45</v>
      </c>
      <c r="I513" s="2" t="s">
        <v>1069</v>
      </c>
    </row>
    <row r="514" customFormat="false" ht="15" hidden="false" customHeight="false" outlineLevel="0" collapsed="false">
      <c r="A514" s="2" t="s">
        <v>1594</v>
      </c>
      <c r="B514" s="2" t="s">
        <v>463</v>
      </c>
      <c r="C514" s="6" t="n">
        <v>45965</v>
      </c>
      <c r="D514" s="2" t="s">
        <v>47</v>
      </c>
      <c r="E514" s="2" t="s">
        <v>1090</v>
      </c>
      <c r="F514" s="2" t="s">
        <v>1067</v>
      </c>
      <c r="G514" s="2" t="s">
        <v>1068</v>
      </c>
      <c r="H514" s="2" t="s">
        <v>57</v>
      </c>
      <c r="I514" s="2" t="s">
        <v>1072</v>
      </c>
    </row>
    <row r="515" customFormat="false" ht="15" hidden="false" customHeight="false" outlineLevel="0" collapsed="false">
      <c r="A515" s="2" t="s">
        <v>1595</v>
      </c>
      <c r="B515" s="2" t="s">
        <v>722</v>
      </c>
      <c r="C515" s="6" t="n">
        <v>45965</v>
      </c>
      <c r="D515" s="2" t="s">
        <v>47</v>
      </c>
      <c r="E515" s="2" t="s">
        <v>1114</v>
      </c>
      <c r="F515" s="2" t="s">
        <v>1075</v>
      </c>
      <c r="G515" s="2" t="s">
        <v>1068</v>
      </c>
      <c r="H515" s="2" t="s">
        <v>45</v>
      </c>
      <c r="I515" s="2" t="s">
        <v>1069</v>
      </c>
    </row>
    <row r="516" customFormat="false" ht="15" hidden="false" customHeight="false" outlineLevel="0" collapsed="false">
      <c r="A516" s="2" t="s">
        <v>1596</v>
      </c>
      <c r="B516" s="2" t="s">
        <v>928</v>
      </c>
      <c r="C516" s="6" t="n">
        <v>45966</v>
      </c>
      <c r="D516" s="2" t="s">
        <v>47</v>
      </c>
      <c r="E516" s="2" t="s">
        <v>1099</v>
      </c>
      <c r="F516" s="2" t="s">
        <v>1075</v>
      </c>
      <c r="G516" s="2" t="s">
        <v>1068</v>
      </c>
      <c r="H516" s="2" t="s">
        <v>57</v>
      </c>
      <c r="I516" s="2" t="s">
        <v>1069</v>
      </c>
    </row>
    <row r="517" customFormat="false" ht="15" hidden="false" customHeight="false" outlineLevel="0" collapsed="false">
      <c r="A517" s="2" t="s">
        <v>1597</v>
      </c>
      <c r="B517" s="2" t="s">
        <v>1026</v>
      </c>
      <c r="C517" s="6" t="n">
        <v>45973</v>
      </c>
      <c r="D517" s="2" t="s">
        <v>47</v>
      </c>
      <c r="E517" s="2" t="s">
        <v>1074</v>
      </c>
      <c r="F517" s="2" t="s">
        <v>1075</v>
      </c>
      <c r="G517" s="2" t="s">
        <v>1068</v>
      </c>
      <c r="H517" s="2" t="s">
        <v>45</v>
      </c>
      <c r="I517" s="2" t="s">
        <v>1072</v>
      </c>
    </row>
    <row r="518" customFormat="false" ht="15" hidden="false" customHeight="false" outlineLevel="0" collapsed="false">
      <c r="A518" s="2" t="s">
        <v>1598</v>
      </c>
      <c r="B518" s="2" t="s">
        <v>844</v>
      </c>
      <c r="C518" s="6" t="n">
        <v>45974</v>
      </c>
      <c r="D518" s="2" t="s">
        <v>47</v>
      </c>
      <c r="E518" s="2" t="s">
        <v>1080</v>
      </c>
      <c r="F518" s="2" t="s">
        <v>1067</v>
      </c>
      <c r="G518" s="2" t="s">
        <v>1068</v>
      </c>
      <c r="H518" s="2" t="s">
        <v>37</v>
      </c>
      <c r="I518" s="2" t="s">
        <v>1069</v>
      </c>
    </row>
    <row r="519" customFormat="false" ht="15" hidden="false" customHeight="false" outlineLevel="0" collapsed="false">
      <c r="A519" s="2" t="s">
        <v>1599</v>
      </c>
      <c r="B519" s="2" t="s">
        <v>998</v>
      </c>
      <c r="C519" s="6" t="n">
        <v>45975</v>
      </c>
      <c r="D519" s="2" t="s">
        <v>47</v>
      </c>
      <c r="E519" s="2" t="s">
        <v>1101</v>
      </c>
      <c r="F519" s="2" t="s">
        <v>1067</v>
      </c>
      <c r="G519" s="2" t="s">
        <v>1068</v>
      </c>
      <c r="H519" s="2" t="s">
        <v>45</v>
      </c>
      <c r="I519" s="2" t="s">
        <v>1069</v>
      </c>
    </row>
    <row r="520" customFormat="false" ht="15" hidden="false" customHeight="false" outlineLevel="0" collapsed="false">
      <c r="A520" s="2" t="s">
        <v>1600</v>
      </c>
      <c r="B520" s="2" t="s">
        <v>937</v>
      </c>
      <c r="C520" s="6" t="n">
        <v>45978</v>
      </c>
      <c r="D520" s="2" t="s">
        <v>47</v>
      </c>
      <c r="E520" s="2" t="s">
        <v>1078</v>
      </c>
      <c r="F520" s="2" t="s">
        <v>1075</v>
      </c>
      <c r="G520" s="2" t="s">
        <v>1068</v>
      </c>
      <c r="H520" s="2" t="s">
        <v>45</v>
      </c>
      <c r="I520" s="2" t="s">
        <v>1069</v>
      </c>
    </row>
    <row r="521" customFormat="false" ht="15" hidden="false" customHeight="false" outlineLevel="0" collapsed="false">
      <c r="A521" s="2" t="s">
        <v>1601</v>
      </c>
      <c r="B521" s="2" t="s">
        <v>1050</v>
      </c>
      <c r="C521" s="6" t="n">
        <v>45978</v>
      </c>
      <c r="D521" s="2" t="s">
        <v>47</v>
      </c>
      <c r="E521" s="2" t="s">
        <v>1074</v>
      </c>
      <c r="F521" s="2" t="s">
        <v>1075</v>
      </c>
      <c r="G521" s="2" t="s">
        <v>1068</v>
      </c>
      <c r="H521" s="2" t="s">
        <v>37</v>
      </c>
      <c r="I521" s="2" t="s">
        <v>1072</v>
      </c>
    </row>
    <row r="522" customFormat="false" ht="15" hidden="false" customHeight="false" outlineLevel="0" collapsed="false">
      <c r="A522" s="2" t="s">
        <v>1602</v>
      </c>
      <c r="B522" s="2" t="s">
        <v>127</v>
      </c>
      <c r="C522" s="6" t="n">
        <v>45979</v>
      </c>
      <c r="D522" s="2" t="s">
        <v>47</v>
      </c>
      <c r="E522" s="2" t="s">
        <v>1066</v>
      </c>
      <c r="F522" s="2" t="s">
        <v>1067</v>
      </c>
      <c r="G522" s="2" t="s">
        <v>1085</v>
      </c>
      <c r="H522" s="2" t="s">
        <v>67</v>
      </c>
      <c r="I522" s="2" t="s">
        <v>1069</v>
      </c>
    </row>
    <row r="523" customFormat="false" ht="15" hidden="false" customHeight="false" outlineLevel="0" collapsed="false">
      <c r="A523" s="2" t="s">
        <v>1603</v>
      </c>
      <c r="B523" s="2" t="s">
        <v>467</v>
      </c>
      <c r="C523" s="6" t="n">
        <v>45986</v>
      </c>
      <c r="D523" s="2" t="s">
        <v>47</v>
      </c>
      <c r="E523" s="2" t="s">
        <v>1080</v>
      </c>
      <c r="F523" s="2" t="s">
        <v>1067</v>
      </c>
      <c r="G523" s="2" t="s">
        <v>1068</v>
      </c>
      <c r="H523" s="2" t="s">
        <v>45</v>
      </c>
      <c r="I523" s="2" t="s">
        <v>1093</v>
      </c>
    </row>
    <row r="524" customFormat="false" ht="15" hidden="false" customHeight="false" outlineLevel="0" collapsed="false">
      <c r="A524" s="2" t="s">
        <v>1604</v>
      </c>
      <c r="B524" s="2" t="s">
        <v>992</v>
      </c>
      <c r="C524" s="6" t="n">
        <v>45987</v>
      </c>
      <c r="D524" s="2" t="s">
        <v>47</v>
      </c>
      <c r="E524" s="2" t="s">
        <v>1095</v>
      </c>
      <c r="F524" s="2" t="s">
        <v>1075</v>
      </c>
      <c r="G524" s="2" t="s">
        <v>1068</v>
      </c>
      <c r="H524" s="2" t="s">
        <v>45</v>
      </c>
      <c r="I524" s="2" t="s">
        <v>1069</v>
      </c>
    </row>
    <row r="525" customFormat="false" ht="15" hidden="false" customHeight="false" outlineLevel="0" collapsed="false">
      <c r="A525" s="2" t="s">
        <v>1605</v>
      </c>
      <c r="B525" s="2" t="s">
        <v>139</v>
      </c>
      <c r="C525" s="6" t="n">
        <v>45989</v>
      </c>
      <c r="D525" s="2" t="s">
        <v>47</v>
      </c>
      <c r="E525" s="2" t="s">
        <v>1078</v>
      </c>
      <c r="F525" s="2" t="s">
        <v>1075</v>
      </c>
      <c r="G525" s="2" t="s">
        <v>1068</v>
      </c>
      <c r="H525" s="2" t="s">
        <v>45</v>
      </c>
      <c r="I525" s="2" t="s">
        <v>1069</v>
      </c>
    </row>
    <row r="526" customFormat="false" ht="15" hidden="false" customHeight="false" outlineLevel="0" collapsed="false">
      <c r="A526" s="2" t="s">
        <v>1606</v>
      </c>
      <c r="B526" s="2" t="s">
        <v>421</v>
      </c>
      <c r="C526" s="6" t="n">
        <v>45989</v>
      </c>
      <c r="D526" s="2" t="s">
        <v>47</v>
      </c>
      <c r="E526" s="2" t="s">
        <v>1074</v>
      </c>
      <c r="F526" s="2" t="s">
        <v>1075</v>
      </c>
      <c r="G526" s="2" t="s">
        <v>1068</v>
      </c>
      <c r="H526" s="2" t="s">
        <v>37</v>
      </c>
      <c r="I526" s="2" t="s">
        <v>1069</v>
      </c>
    </row>
    <row r="527" customFormat="false" ht="15" hidden="false" customHeight="false" outlineLevel="0" collapsed="false">
      <c r="A527" s="2" t="s">
        <v>1607</v>
      </c>
      <c r="B527" s="2" t="s">
        <v>838</v>
      </c>
      <c r="C527" s="6" t="n">
        <v>45992</v>
      </c>
      <c r="D527" s="2" t="s">
        <v>47</v>
      </c>
      <c r="E527" s="2" t="s">
        <v>1101</v>
      </c>
      <c r="F527" s="2" t="s">
        <v>1067</v>
      </c>
      <c r="G527" s="2" t="s">
        <v>1068</v>
      </c>
      <c r="H527" s="2" t="s">
        <v>45</v>
      </c>
      <c r="I527" s="2" t="s">
        <v>1072</v>
      </c>
    </row>
    <row r="528" customFormat="false" ht="15" hidden="false" customHeight="false" outlineLevel="0" collapsed="false">
      <c r="A528" s="2" t="s">
        <v>1608</v>
      </c>
      <c r="B528" s="2" t="s">
        <v>542</v>
      </c>
      <c r="C528" s="6" t="n">
        <v>45993</v>
      </c>
      <c r="D528" s="2" t="s">
        <v>47</v>
      </c>
      <c r="E528" s="2" t="s">
        <v>1101</v>
      </c>
      <c r="F528" s="2" t="s">
        <v>1067</v>
      </c>
      <c r="G528" s="2" t="s">
        <v>1068</v>
      </c>
      <c r="H528" s="2" t="s">
        <v>45</v>
      </c>
      <c r="I528" s="2" t="s">
        <v>1072</v>
      </c>
    </row>
    <row r="529" customFormat="false" ht="15" hidden="false" customHeight="false" outlineLevel="0" collapsed="false">
      <c r="A529" s="2" t="s">
        <v>1609</v>
      </c>
      <c r="B529" s="2" t="s">
        <v>841</v>
      </c>
      <c r="C529" s="6" t="n">
        <v>45993</v>
      </c>
      <c r="D529" s="2" t="s">
        <v>47</v>
      </c>
      <c r="E529" s="2" t="s">
        <v>1099</v>
      </c>
      <c r="F529" s="2" t="s">
        <v>1075</v>
      </c>
      <c r="G529" s="2" t="s">
        <v>1068</v>
      </c>
      <c r="H529" s="2" t="s">
        <v>57</v>
      </c>
      <c r="I529" s="2" t="s">
        <v>1093</v>
      </c>
    </row>
    <row r="530" customFormat="false" ht="15" hidden="false" customHeight="false" outlineLevel="0" collapsed="false">
      <c r="A530" s="2" t="s">
        <v>1610</v>
      </c>
      <c r="B530" s="2" t="s">
        <v>964</v>
      </c>
      <c r="C530" s="6" t="n">
        <v>45993</v>
      </c>
      <c r="D530" s="2" t="s">
        <v>47</v>
      </c>
      <c r="E530" s="2" t="s">
        <v>1066</v>
      </c>
      <c r="F530" s="2" t="s">
        <v>1067</v>
      </c>
      <c r="G530" s="2" t="s">
        <v>1068</v>
      </c>
      <c r="H530" s="2" t="s">
        <v>37</v>
      </c>
      <c r="I530" s="2" t="s">
        <v>1072</v>
      </c>
    </row>
    <row r="531" customFormat="false" ht="15" hidden="false" customHeight="false" outlineLevel="0" collapsed="false">
      <c r="A531" s="2" t="s">
        <v>1611</v>
      </c>
      <c r="B531" s="2" t="s">
        <v>829</v>
      </c>
      <c r="C531" s="6" t="n">
        <v>45994</v>
      </c>
      <c r="D531" s="2" t="s">
        <v>47</v>
      </c>
      <c r="E531" s="2" t="s">
        <v>1101</v>
      </c>
      <c r="F531" s="2" t="s">
        <v>1067</v>
      </c>
      <c r="G531" s="2" t="s">
        <v>1068</v>
      </c>
      <c r="H531" s="2" t="s">
        <v>45</v>
      </c>
      <c r="I531" s="2" t="s">
        <v>1072</v>
      </c>
    </row>
    <row r="532" customFormat="false" ht="15" hidden="false" customHeight="false" outlineLevel="0" collapsed="false">
      <c r="A532" s="2" t="s">
        <v>1612</v>
      </c>
      <c r="B532" s="2" t="s">
        <v>832</v>
      </c>
      <c r="C532" s="6" t="n">
        <v>45994</v>
      </c>
      <c r="D532" s="2" t="s">
        <v>47</v>
      </c>
      <c r="E532" s="2" t="s">
        <v>1099</v>
      </c>
      <c r="F532" s="2" t="s">
        <v>1075</v>
      </c>
      <c r="G532" s="2" t="s">
        <v>1068</v>
      </c>
      <c r="H532" s="2" t="s">
        <v>37</v>
      </c>
      <c r="I532" s="2" t="s">
        <v>1072</v>
      </c>
    </row>
    <row r="533" customFormat="false" ht="15" hidden="false" customHeight="false" outlineLevel="0" collapsed="false">
      <c r="A533" s="2" t="s">
        <v>1613</v>
      </c>
      <c r="B533" s="2" t="s">
        <v>88</v>
      </c>
      <c r="C533" s="6" t="n">
        <v>45999</v>
      </c>
      <c r="D533" s="2" t="s">
        <v>47</v>
      </c>
      <c r="E533" s="2" t="s">
        <v>1074</v>
      </c>
      <c r="F533" s="2" t="s">
        <v>1075</v>
      </c>
      <c r="G533" s="2" t="s">
        <v>1068</v>
      </c>
      <c r="H533" s="2" t="s">
        <v>37</v>
      </c>
      <c r="I533" s="2" t="s">
        <v>1069</v>
      </c>
    </row>
    <row r="534" customFormat="false" ht="15" hidden="false" customHeight="false" outlineLevel="0" collapsed="false">
      <c r="A534" s="2" t="s">
        <v>1614</v>
      </c>
      <c r="B534" s="2" t="s">
        <v>844</v>
      </c>
      <c r="C534" s="6" t="n">
        <v>45999</v>
      </c>
      <c r="D534" s="2" t="s">
        <v>47</v>
      </c>
      <c r="E534" s="2" t="s">
        <v>1090</v>
      </c>
      <c r="F534" s="2" t="s">
        <v>1067</v>
      </c>
      <c r="G534" s="2" t="s">
        <v>1068</v>
      </c>
      <c r="H534" s="2" t="s">
        <v>45</v>
      </c>
      <c r="I534" s="2" t="s">
        <v>1069</v>
      </c>
    </row>
    <row r="535" customFormat="false" ht="15" hidden="false" customHeight="false" outlineLevel="0" collapsed="false">
      <c r="A535" s="2" t="s">
        <v>1615</v>
      </c>
      <c r="B535" s="2" t="s">
        <v>956</v>
      </c>
      <c r="C535" s="6" t="n">
        <v>45999</v>
      </c>
      <c r="D535" s="2" t="s">
        <v>47</v>
      </c>
      <c r="E535" s="2" t="s">
        <v>1066</v>
      </c>
      <c r="F535" s="2" t="s">
        <v>1067</v>
      </c>
      <c r="G535" s="2" t="s">
        <v>1068</v>
      </c>
      <c r="H535" s="2" t="s">
        <v>45</v>
      </c>
      <c r="I535" s="2" t="s">
        <v>1072</v>
      </c>
    </row>
    <row r="536" customFormat="false" ht="15" hidden="false" customHeight="false" outlineLevel="0" collapsed="false">
      <c r="A536" s="2" t="s">
        <v>1616</v>
      </c>
      <c r="B536" s="2" t="s">
        <v>714</v>
      </c>
      <c r="C536" s="6" t="n">
        <v>46000</v>
      </c>
      <c r="D536" s="2" t="s">
        <v>47</v>
      </c>
      <c r="E536" s="2" t="s">
        <v>1071</v>
      </c>
      <c r="F536" s="2" t="s">
        <v>1067</v>
      </c>
      <c r="G536" s="2" t="s">
        <v>1085</v>
      </c>
      <c r="H536" s="2" t="s">
        <v>67</v>
      </c>
      <c r="I536" s="2" t="s">
        <v>1072</v>
      </c>
    </row>
    <row r="537" customFormat="false" ht="15" hidden="false" customHeight="false" outlineLevel="0" collapsed="false">
      <c r="A537" s="2" t="s">
        <v>1617</v>
      </c>
      <c r="B537" s="2" t="s">
        <v>802</v>
      </c>
      <c r="C537" s="6" t="n">
        <v>46001</v>
      </c>
      <c r="D537" s="2" t="s">
        <v>47</v>
      </c>
      <c r="E537" s="2" t="s">
        <v>1090</v>
      </c>
      <c r="F537" s="2" t="s">
        <v>1067</v>
      </c>
      <c r="G537" s="2" t="s">
        <v>1068</v>
      </c>
      <c r="H537" s="2" t="s">
        <v>45</v>
      </c>
      <c r="I537" s="2" t="s">
        <v>1069</v>
      </c>
    </row>
    <row r="538" customFormat="false" ht="15" hidden="false" customHeight="false" outlineLevel="0" collapsed="false">
      <c r="A538" s="2" t="s">
        <v>1618</v>
      </c>
      <c r="B538" s="2" t="s">
        <v>892</v>
      </c>
      <c r="C538" s="6" t="n">
        <v>46001</v>
      </c>
      <c r="D538" s="2" t="s">
        <v>47</v>
      </c>
      <c r="E538" s="2" t="s">
        <v>1095</v>
      </c>
      <c r="F538" s="2" t="s">
        <v>1075</v>
      </c>
      <c r="G538" s="2" t="s">
        <v>1068</v>
      </c>
      <c r="H538" s="2" t="s">
        <v>37</v>
      </c>
      <c r="I538" s="2" t="s">
        <v>1072</v>
      </c>
    </row>
    <row r="539" customFormat="false" ht="15" hidden="false" customHeight="false" outlineLevel="0" collapsed="false">
      <c r="A539" s="2" t="s">
        <v>1619</v>
      </c>
      <c r="B539" s="2" t="s">
        <v>925</v>
      </c>
      <c r="C539" s="6" t="n">
        <v>46008</v>
      </c>
      <c r="D539" s="2" t="s">
        <v>47</v>
      </c>
      <c r="E539" s="2" t="s">
        <v>1095</v>
      </c>
      <c r="F539" s="2" t="s">
        <v>1075</v>
      </c>
      <c r="G539" s="2" t="s">
        <v>1068</v>
      </c>
      <c r="H539" s="2" t="s">
        <v>57</v>
      </c>
      <c r="I539" s="2" t="s">
        <v>1069</v>
      </c>
    </row>
    <row r="540" customFormat="false" ht="15" hidden="false" customHeight="false" outlineLevel="0" collapsed="false">
      <c r="A540" s="2" t="s">
        <v>1620</v>
      </c>
      <c r="B540" s="2" t="s">
        <v>937</v>
      </c>
      <c r="C540" s="6" t="n">
        <v>46008</v>
      </c>
      <c r="D540" s="2" t="s">
        <v>47</v>
      </c>
      <c r="E540" s="2" t="s">
        <v>1095</v>
      </c>
      <c r="F540" s="2" t="s">
        <v>1075</v>
      </c>
      <c r="G540" s="2" t="s">
        <v>1068</v>
      </c>
      <c r="H540" s="2" t="s">
        <v>45</v>
      </c>
      <c r="I540" s="2" t="s">
        <v>1093</v>
      </c>
    </row>
    <row r="541" customFormat="false" ht="15" hidden="false" customHeight="false" outlineLevel="0" collapsed="false">
      <c r="A541" s="2" t="s">
        <v>1621</v>
      </c>
      <c r="B541" s="2" t="s">
        <v>29</v>
      </c>
      <c r="C541" s="6" t="n">
        <v>46010</v>
      </c>
      <c r="D541" s="2" t="s">
        <v>47</v>
      </c>
      <c r="E541" s="2" t="s">
        <v>1071</v>
      </c>
      <c r="F541" s="2" t="s">
        <v>1067</v>
      </c>
      <c r="G541" s="2" t="s">
        <v>1068</v>
      </c>
      <c r="H541" s="2" t="s">
        <v>57</v>
      </c>
      <c r="I541" s="2" t="s">
        <v>1072</v>
      </c>
    </row>
    <row r="542" customFormat="false" ht="15" hidden="false" customHeight="false" outlineLevel="0" collapsed="false">
      <c r="A542" s="2" t="s">
        <v>1622</v>
      </c>
      <c r="B542" s="2" t="s">
        <v>850</v>
      </c>
      <c r="C542" s="6" t="n">
        <v>46014</v>
      </c>
      <c r="D542" s="2" t="s">
        <v>47</v>
      </c>
      <c r="E542" s="2" t="s">
        <v>1071</v>
      </c>
      <c r="F542" s="2" t="s">
        <v>1067</v>
      </c>
      <c r="G542" s="2" t="s">
        <v>1068</v>
      </c>
      <c r="H542" s="2" t="s">
        <v>37</v>
      </c>
      <c r="I542" s="2" t="s">
        <v>1072</v>
      </c>
    </row>
    <row r="543" customFormat="false" ht="15" hidden="false" customHeight="false" outlineLevel="0" collapsed="false">
      <c r="A543" s="2" t="s">
        <v>1623</v>
      </c>
      <c r="B543" s="2" t="s">
        <v>882</v>
      </c>
      <c r="C543" s="6" t="n">
        <v>46015</v>
      </c>
      <c r="D543" s="2" t="s">
        <v>47</v>
      </c>
      <c r="E543" s="2" t="s">
        <v>1090</v>
      </c>
      <c r="F543" s="2" t="s">
        <v>1067</v>
      </c>
      <c r="G543" s="2" t="s">
        <v>1085</v>
      </c>
      <c r="H543" s="2" t="s">
        <v>67</v>
      </c>
      <c r="I543" s="2" t="s">
        <v>1069</v>
      </c>
    </row>
    <row r="544" customFormat="false" ht="15" hidden="false" customHeight="false" outlineLevel="0" collapsed="false">
      <c r="A544" s="2" t="s">
        <v>1624</v>
      </c>
      <c r="B544" s="2" t="s">
        <v>952</v>
      </c>
      <c r="C544" s="6" t="n">
        <v>46016</v>
      </c>
      <c r="D544" s="2" t="s">
        <v>47</v>
      </c>
      <c r="E544" s="2" t="s">
        <v>1074</v>
      </c>
      <c r="F544" s="2" t="s">
        <v>1075</v>
      </c>
      <c r="G544" s="2" t="s">
        <v>1068</v>
      </c>
      <c r="H544" s="2" t="s">
        <v>45</v>
      </c>
      <c r="I544" s="2" t="s">
        <v>1069</v>
      </c>
    </row>
    <row r="545" customFormat="false" ht="15" hidden="false" customHeight="false" outlineLevel="0" collapsed="false">
      <c r="A545" s="2" t="s">
        <v>1625</v>
      </c>
      <c r="B545" s="2" t="s">
        <v>63</v>
      </c>
      <c r="C545" s="6" t="n">
        <v>46017</v>
      </c>
      <c r="D545" s="2" t="s">
        <v>47</v>
      </c>
      <c r="E545" s="2" t="s">
        <v>1090</v>
      </c>
      <c r="F545" s="2" t="s">
        <v>1067</v>
      </c>
      <c r="G545" s="2" t="s">
        <v>1085</v>
      </c>
      <c r="H545" s="2" t="s">
        <v>67</v>
      </c>
      <c r="I545" s="2" t="s">
        <v>1069</v>
      </c>
    </row>
    <row r="546" customFormat="false" ht="15" hidden="false" customHeight="false" outlineLevel="0" collapsed="false">
      <c r="A546" s="2" t="s">
        <v>1626</v>
      </c>
      <c r="B546" s="2" t="s">
        <v>1030</v>
      </c>
      <c r="C546" s="6" t="n">
        <v>46017</v>
      </c>
      <c r="D546" s="2" t="s">
        <v>47</v>
      </c>
      <c r="E546" s="2" t="s">
        <v>1071</v>
      </c>
      <c r="F546" s="2" t="s">
        <v>1067</v>
      </c>
      <c r="G546" s="2" t="s">
        <v>1068</v>
      </c>
      <c r="H546" s="2" t="s">
        <v>45</v>
      </c>
      <c r="I546" s="2" t="s">
        <v>1072</v>
      </c>
    </row>
    <row r="547" customFormat="false" ht="15" hidden="false" customHeight="false" outlineLevel="0" collapsed="false">
      <c r="A547" s="2" t="s">
        <v>1627</v>
      </c>
      <c r="B547" s="2" t="s">
        <v>838</v>
      </c>
      <c r="C547" s="6" t="n">
        <v>46020</v>
      </c>
      <c r="D547" s="2" t="s">
        <v>47</v>
      </c>
      <c r="E547" s="2" t="s">
        <v>1071</v>
      </c>
      <c r="F547" s="2" t="s">
        <v>1067</v>
      </c>
      <c r="G547" s="2" t="s">
        <v>1085</v>
      </c>
      <c r="H547" s="2" t="s">
        <v>67</v>
      </c>
      <c r="I547" s="2" t="s">
        <v>1072</v>
      </c>
    </row>
    <row r="548" customFormat="false" ht="15" hidden="false" customHeight="false" outlineLevel="0" collapsed="false">
      <c r="A548" s="2" t="s">
        <v>1628</v>
      </c>
      <c r="B548" s="2" t="s">
        <v>784</v>
      </c>
      <c r="C548" s="6" t="n">
        <v>46021</v>
      </c>
      <c r="D548" s="2" t="s">
        <v>47</v>
      </c>
      <c r="E548" s="2" t="s">
        <v>1095</v>
      </c>
      <c r="F548" s="2" t="s">
        <v>1075</v>
      </c>
      <c r="G548" s="2" t="s">
        <v>1068</v>
      </c>
      <c r="H548" s="2" t="s">
        <v>57</v>
      </c>
      <c r="I548" s="2" t="s">
        <v>1069</v>
      </c>
    </row>
    <row r="549" customFormat="false" ht="15" hidden="false" customHeight="false" outlineLevel="0" collapsed="false">
      <c r="A549" s="2" t="s">
        <v>1629</v>
      </c>
      <c r="B549" s="2" t="s">
        <v>217</v>
      </c>
      <c r="C549" s="6" t="n">
        <v>46023</v>
      </c>
      <c r="D549" s="2" t="s">
        <v>47</v>
      </c>
      <c r="E549" s="2" t="s">
        <v>1080</v>
      </c>
      <c r="F549" s="2" t="s">
        <v>1067</v>
      </c>
      <c r="G549" s="2" t="s">
        <v>1068</v>
      </c>
      <c r="H549" s="2" t="s">
        <v>37</v>
      </c>
      <c r="I549" s="2" t="s">
        <v>1069</v>
      </c>
    </row>
    <row r="550" customFormat="false" ht="15" hidden="false" customHeight="false" outlineLevel="0" collapsed="false">
      <c r="A550" s="2" t="s">
        <v>1630</v>
      </c>
      <c r="B550" s="2" t="s">
        <v>1050</v>
      </c>
      <c r="C550" s="6" t="n">
        <v>46023</v>
      </c>
      <c r="D550" s="2" t="s">
        <v>47</v>
      </c>
      <c r="E550" s="2" t="s">
        <v>1090</v>
      </c>
      <c r="F550" s="2" t="s">
        <v>1067</v>
      </c>
      <c r="G550" s="2" t="s">
        <v>1085</v>
      </c>
      <c r="H550" s="2" t="s">
        <v>67</v>
      </c>
      <c r="I550" s="2" t="s">
        <v>1072</v>
      </c>
    </row>
    <row r="551" customFormat="false" ht="15" hidden="false" customHeight="false" outlineLevel="0" collapsed="false">
      <c r="A551" s="2" t="s">
        <v>1631</v>
      </c>
      <c r="B551" s="2" t="s">
        <v>954</v>
      </c>
      <c r="C551" s="6" t="n">
        <v>46024</v>
      </c>
      <c r="D551" s="2" t="s">
        <v>47</v>
      </c>
      <c r="E551" s="2" t="s">
        <v>1066</v>
      </c>
      <c r="F551" s="2" t="s">
        <v>1067</v>
      </c>
      <c r="G551" s="2" t="s">
        <v>1068</v>
      </c>
      <c r="H551" s="2" t="s">
        <v>57</v>
      </c>
      <c r="I551" s="2" t="s">
        <v>1069</v>
      </c>
    </row>
    <row r="552" customFormat="false" ht="15" hidden="false" customHeight="false" outlineLevel="0" collapsed="false">
      <c r="A552" s="2" t="s">
        <v>1632</v>
      </c>
      <c r="B552" s="2" t="s">
        <v>1014</v>
      </c>
      <c r="C552" s="6" t="n">
        <v>46027</v>
      </c>
      <c r="D552" s="2" t="s">
        <v>47</v>
      </c>
      <c r="E552" s="2" t="s">
        <v>1080</v>
      </c>
      <c r="F552" s="2" t="s">
        <v>1067</v>
      </c>
      <c r="G552" s="2" t="s">
        <v>1068</v>
      </c>
      <c r="H552" s="2" t="s">
        <v>45</v>
      </c>
      <c r="I552" s="2" t="s">
        <v>1069</v>
      </c>
    </row>
    <row r="553" customFormat="false" ht="15" hidden="false" customHeight="false" outlineLevel="0" collapsed="false">
      <c r="A553" s="2" t="s">
        <v>1633</v>
      </c>
      <c r="B553" s="2" t="s">
        <v>602</v>
      </c>
      <c r="C553" s="6" t="n">
        <v>46028</v>
      </c>
      <c r="D553" s="2" t="s">
        <v>47</v>
      </c>
      <c r="E553" s="2" t="s">
        <v>1071</v>
      </c>
      <c r="F553" s="2" t="s">
        <v>1067</v>
      </c>
      <c r="G553" s="2" t="s">
        <v>1068</v>
      </c>
      <c r="H553" s="2" t="s">
        <v>57</v>
      </c>
      <c r="I553" s="2" t="s">
        <v>1069</v>
      </c>
    </row>
    <row r="554" customFormat="false" ht="15" hidden="false" customHeight="false" outlineLevel="0" collapsed="false">
      <c r="A554" s="2" t="s">
        <v>1634</v>
      </c>
      <c r="B554" s="2" t="s">
        <v>421</v>
      </c>
      <c r="C554" s="6" t="n">
        <v>46029</v>
      </c>
      <c r="D554" s="2" t="s">
        <v>47</v>
      </c>
      <c r="E554" s="2" t="s">
        <v>1114</v>
      </c>
      <c r="F554" s="2" t="s">
        <v>1075</v>
      </c>
      <c r="G554" s="2" t="s">
        <v>1068</v>
      </c>
      <c r="H554" s="2" t="s">
        <v>45</v>
      </c>
      <c r="I554" s="2" t="s">
        <v>1072</v>
      </c>
    </row>
    <row r="555" customFormat="false" ht="15" hidden="false" customHeight="false" outlineLevel="0" collapsed="false">
      <c r="A555" s="2" t="s">
        <v>1635</v>
      </c>
      <c r="B555" s="2" t="s">
        <v>781</v>
      </c>
      <c r="C555" s="6" t="n">
        <v>46029</v>
      </c>
      <c r="D555" s="2" t="s">
        <v>47</v>
      </c>
      <c r="E555" s="2" t="s">
        <v>1090</v>
      </c>
      <c r="F555" s="2" t="s">
        <v>1067</v>
      </c>
      <c r="G555" s="2" t="s">
        <v>1068</v>
      </c>
      <c r="H555" s="2" t="s">
        <v>37</v>
      </c>
      <c r="I555" s="2" t="s">
        <v>1093</v>
      </c>
    </row>
    <row r="556" customFormat="false" ht="15" hidden="false" customHeight="false" outlineLevel="0" collapsed="false">
      <c r="A556" s="2" t="s">
        <v>1636</v>
      </c>
      <c r="B556" s="2" t="s">
        <v>974</v>
      </c>
      <c r="C556" s="6" t="n">
        <v>46030</v>
      </c>
      <c r="D556" s="2" t="s">
        <v>47</v>
      </c>
      <c r="E556" s="2" t="s">
        <v>1078</v>
      </c>
      <c r="F556" s="2" t="s">
        <v>1075</v>
      </c>
      <c r="G556" s="2" t="s">
        <v>1068</v>
      </c>
      <c r="H556" s="2" t="s">
        <v>45</v>
      </c>
      <c r="I556" s="2" t="s">
        <v>1069</v>
      </c>
    </row>
    <row r="557" customFormat="false" ht="15" hidden="false" customHeight="false" outlineLevel="0" collapsed="false">
      <c r="A557" s="2" t="s">
        <v>1637</v>
      </c>
      <c r="B557" s="2" t="s">
        <v>695</v>
      </c>
      <c r="C557" s="6" t="n">
        <v>46036</v>
      </c>
      <c r="D557" s="2" t="s">
        <v>47</v>
      </c>
      <c r="E557" s="2" t="s">
        <v>1099</v>
      </c>
      <c r="F557" s="2" t="s">
        <v>1075</v>
      </c>
      <c r="G557" s="2" t="s">
        <v>1068</v>
      </c>
      <c r="H557" s="2" t="s">
        <v>37</v>
      </c>
      <c r="I557" s="2" t="s">
        <v>1072</v>
      </c>
    </row>
    <row r="558" customFormat="false" ht="15" hidden="false" customHeight="false" outlineLevel="0" collapsed="false">
      <c r="A558" s="2" t="s">
        <v>1638</v>
      </c>
      <c r="B558" s="2" t="s">
        <v>892</v>
      </c>
      <c r="C558" s="6" t="n">
        <v>46036</v>
      </c>
      <c r="D558" s="2" t="s">
        <v>47</v>
      </c>
      <c r="E558" s="2" t="s">
        <v>1074</v>
      </c>
      <c r="F558" s="2" t="s">
        <v>1075</v>
      </c>
      <c r="G558" s="2" t="s">
        <v>1068</v>
      </c>
      <c r="H558" s="2" t="s">
        <v>37</v>
      </c>
      <c r="I558" s="2" t="s">
        <v>1069</v>
      </c>
    </row>
    <row r="559" customFormat="false" ht="15" hidden="false" customHeight="false" outlineLevel="0" collapsed="false">
      <c r="A559" s="2" t="s">
        <v>1639</v>
      </c>
      <c r="B559" s="2" t="s">
        <v>1044</v>
      </c>
      <c r="C559" s="6" t="n">
        <v>46036</v>
      </c>
      <c r="D559" s="2" t="s">
        <v>47</v>
      </c>
      <c r="E559" s="2" t="s">
        <v>1071</v>
      </c>
      <c r="F559" s="2" t="s">
        <v>1067</v>
      </c>
      <c r="G559" s="2" t="s">
        <v>1068</v>
      </c>
      <c r="H559" s="2" t="s">
        <v>45</v>
      </c>
      <c r="I559" s="2" t="s">
        <v>1072</v>
      </c>
    </row>
    <row r="560" customFormat="false" ht="15" hidden="false" customHeight="false" outlineLevel="0" collapsed="false">
      <c r="A560" s="2" t="s">
        <v>1640</v>
      </c>
      <c r="B560" s="2" t="s">
        <v>775</v>
      </c>
      <c r="C560" s="6" t="n">
        <v>46038</v>
      </c>
      <c r="D560" s="2" t="s">
        <v>47</v>
      </c>
      <c r="E560" s="2" t="s">
        <v>1099</v>
      </c>
      <c r="F560" s="2" t="s">
        <v>1075</v>
      </c>
      <c r="G560" s="2" t="s">
        <v>1068</v>
      </c>
      <c r="H560" s="2" t="s">
        <v>57</v>
      </c>
      <c r="I560" s="2" t="s">
        <v>1072</v>
      </c>
    </row>
    <row r="561" customFormat="false" ht="15" hidden="false" customHeight="false" outlineLevel="0" collapsed="false">
      <c r="A561" s="2" t="s">
        <v>1641</v>
      </c>
      <c r="B561" s="2" t="s">
        <v>823</v>
      </c>
      <c r="C561" s="6" t="n">
        <v>46042</v>
      </c>
      <c r="D561" s="2" t="s">
        <v>47</v>
      </c>
      <c r="E561" s="2" t="s">
        <v>1071</v>
      </c>
      <c r="F561" s="2" t="s">
        <v>1067</v>
      </c>
      <c r="G561" s="2" t="s">
        <v>1068</v>
      </c>
      <c r="H561" s="2" t="s">
        <v>45</v>
      </c>
      <c r="I561" s="2" t="s">
        <v>1069</v>
      </c>
    </row>
    <row r="562" customFormat="false" ht="15" hidden="false" customHeight="false" outlineLevel="0" collapsed="false">
      <c r="A562" s="2" t="s">
        <v>1642</v>
      </c>
      <c r="B562" s="2" t="s">
        <v>946</v>
      </c>
      <c r="C562" s="6" t="n">
        <v>46043</v>
      </c>
      <c r="D562" s="2" t="s">
        <v>47</v>
      </c>
      <c r="E562" s="2" t="s">
        <v>1066</v>
      </c>
      <c r="F562" s="2" t="s">
        <v>1067</v>
      </c>
      <c r="G562" s="2" t="s">
        <v>1085</v>
      </c>
      <c r="H562" s="2" t="s">
        <v>67</v>
      </c>
      <c r="I562" s="2" t="s">
        <v>1069</v>
      </c>
    </row>
    <row r="563" customFormat="false" ht="15" hidden="false" customHeight="false" outlineLevel="0" collapsed="false">
      <c r="A563" s="2" t="s">
        <v>1643</v>
      </c>
      <c r="B563" s="2" t="s">
        <v>778</v>
      </c>
      <c r="C563" s="6" t="n">
        <v>46044</v>
      </c>
      <c r="D563" s="2" t="s">
        <v>47</v>
      </c>
      <c r="E563" s="2" t="s">
        <v>1099</v>
      </c>
      <c r="F563" s="2" t="s">
        <v>1075</v>
      </c>
      <c r="G563" s="2" t="s">
        <v>1068</v>
      </c>
      <c r="H563" s="2" t="s">
        <v>57</v>
      </c>
      <c r="I563" s="2" t="s">
        <v>1072</v>
      </c>
    </row>
    <row r="564" customFormat="false" ht="15" hidden="false" customHeight="false" outlineLevel="0" collapsed="false">
      <c r="A564" s="2" t="s">
        <v>1644</v>
      </c>
      <c r="B564" s="2" t="s">
        <v>182</v>
      </c>
      <c r="C564" s="6" t="n">
        <v>46050</v>
      </c>
      <c r="D564" s="2" t="s">
        <v>47</v>
      </c>
      <c r="E564" s="2" t="s">
        <v>1074</v>
      </c>
      <c r="F564" s="2" t="s">
        <v>1075</v>
      </c>
      <c r="G564" s="2" t="s">
        <v>1068</v>
      </c>
      <c r="H564" s="2" t="s">
        <v>57</v>
      </c>
      <c r="I564" s="2" t="s">
        <v>1069</v>
      </c>
    </row>
    <row r="565" customFormat="false" ht="15" hidden="false" customHeight="false" outlineLevel="0" collapsed="false">
      <c r="A565" s="2" t="s">
        <v>1645</v>
      </c>
      <c r="B565" s="2" t="s">
        <v>577</v>
      </c>
      <c r="C565" s="6" t="n">
        <v>46050</v>
      </c>
      <c r="D565" s="2" t="s">
        <v>47</v>
      </c>
      <c r="E565" s="2" t="s">
        <v>1090</v>
      </c>
      <c r="F565" s="2" t="s">
        <v>1067</v>
      </c>
      <c r="G565" s="2" t="s">
        <v>1068</v>
      </c>
      <c r="H565" s="2" t="s">
        <v>37</v>
      </c>
      <c r="I565" s="2" t="s">
        <v>1069</v>
      </c>
    </row>
    <row r="566" customFormat="false" ht="15" hidden="false" customHeight="false" outlineLevel="0" collapsed="false">
      <c r="A566" s="2" t="s">
        <v>1646</v>
      </c>
      <c r="B566" s="2" t="s">
        <v>722</v>
      </c>
      <c r="C566" s="6" t="n">
        <v>46051</v>
      </c>
      <c r="D566" s="2" t="s">
        <v>47</v>
      </c>
      <c r="E566" s="2" t="s">
        <v>1080</v>
      </c>
      <c r="F566" s="2" t="s">
        <v>1067</v>
      </c>
      <c r="G566" s="2" t="s">
        <v>1068</v>
      </c>
      <c r="H566" s="2" t="s">
        <v>57</v>
      </c>
      <c r="I566" s="2" t="s">
        <v>1093</v>
      </c>
    </row>
    <row r="567" customFormat="false" ht="15" hidden="false" customHeight="false" outlineLevel="0" collapsed="false">
      <c r="A567" s="2" t="s">
        <v>1647</v>
      </c>
      <c r="B567" s="2" t="s">
        <v>139</v>
      </c>
      <c r="C567" s="6" t="n">
        <v>46052</v>
      </c>
      <c r="D567" s="2" t="s">
        <v>47</v>
      </c>
      <c r="E567" s="2" t="s">
        <v>1101</v>
      </c>
      <c r="F567" s="2" t="s">
        <v>1067</v>
      </c>
      <c r="G567" s="2" t="s">
        <v>1068</v>
      </c>
      <c r="H567" s="2" t="s">
        <v>37</v>
      </c>
      <c r="I567" s="2" t="s">
        <v>1069</v>
      </c>
    </row>
    <row r="568" customFormat="false" ht="15" hidden="false" customHeight="false" outlineLevel="0" collapsed="false">
      <c r="A568" s="2" t="s">
        <v>1648</v>
      </c>
      <c r="B568" s="2" t="s">
        <v>314</v>
      </c>
      <c r="C568" s="6" t="n">
        <v>46052</v>
      </c>
      <c r="D568" s="2" t="s">
        <v>47</v>
      </c>
      <c r="E568" s="2" t="s">
        <v>1066</v>
      </c>
      <c r="F568" s="2" t="s">
        <v>1067</v>
      </c>
      <c r="G568" s="2" t="s">
        <v>1068</v>
      </c>
      <c r="H568" s="2" t="s">
        <v>37</v>
      </c>
      <c r="I568" s="2" t="s">
        <v>1072</v>
      </c>
    </row>
    <row r="569" customFormat="false" ht="15" hidden="false" customHeight="false" outlineLevel="0" collapsed="false">
      <c r="A569" s="2" t="s">
        <v>1649</v>
      </c>
      <c r="B569" s="2" t="s">
        <v>554</v>
      </c>
      <c r="C569" s="6" t="n">
        <v>46052</v>
      </c>
      <c r="D569" s="2" t="s">
        <v>47</v>
      </c>
      <c r="E569" s="2" t="s">
        <v>1095</v>
      </c>
      <c r="F569" s="2" t="s">
        <v>1075</v>
      </c>
      <c r="G569" s="2" t="s">
        <v>1068</v>
      </c>
      <c r="H569" s="2" t="s">
        <v>37</v>
      </c>
      <c r="I569" s="2" t="s">
        <v>1072</v>
      </c>
    </row>
    <row r="570" customFormat="false" ht="15" hidden="false" customHeight="false" outlineLevel="0" collapsed="false">
      <c r="A570" s="2" t="s">
        <v>1650</v>
      </c>
      <c r="B570" s="2" t="s">
        <v>873</v>
      </c>
      <c r="C570" s="6" t="n">
        <v>46057</v>
      </c>
      <c r="D570" s="2" t="s">
        <v>47</v>
      </c>
      <c r="E570" s="2" t="s">
        <v>1071</v>
      </c>
      <c r="F570" s="2" t="s">
        <v>1067</v>
      </c>
      <c r="G570" s="2" t="s">
        <v>1068</v>
      </c>
      <c r="H570" s="2" t="s">
        <v>37</v>
      </c>
      <c r="I570" s="2" t="s">
        <v>1072</v>
      </c>
    </row>
    <row r="571" customFormat="false" ht="15" hidden="false" customHeight="false" outlineLevel="0" collapsed="false">
      <c r="A571" s="2" t="s">
        <v>1651</v>
      </c>
      <c r="B571" s="2" t="s">
        <v>522</v>
      </c>
      <c r="C571" s="6" t="n">
        <v>46063</v>
      </c>
      <c r="D571" s="2" t="s">
        <v>47</v>
      </c>
      <c r="E571" s="2" t="s">
        <v>1080</v>
      </c>
      <c r="F571" s="2" t="s">
        <v>1067</v>
      </c>
      <c r="G571" s="2" t="s">
        <v>1068</v>
      </c>
      <c r="H571" s="2" t="s">
        <v>57</v>
      </c>
      <c r="I571" s="2" t="s">
        <v>1072</v>
      </c>
    </row>
    <row r="572" customFormat="false" ht="15" hidden="false" customHeight="false" outlineLevel="0" collapsed="false">
      <c r="A572" s="2" t="s">
        <v>1652</v>
      </c>
      <c r="B572" s="2" t="s">
        <v>714</v>
      </c>
      <c r="C572" s="6" t="n">
        <v>46064</v>
      </c>
      <c r="D572" s="2" t="s">
        <v>47</v>
      </c>
      <c r="E572" s="2" t="s">
        <v>1090</v>
      </c>
      <c r="F572" s="2" t="s">
        <v>1067</v>
      </c>
      <c r="G572" s="2" t="s">
        <v>1068</v>
      </c>
      <c r="H572" s="2" t="s">
        <v>45</v>
      </c>
      <c r="I572" s="2" t="s">
        <v>1072</v>
      </c>
    </row>
    <row r="573" customFormat="false" ht="15" hidden="false" customHeight="false" outlineLevel="0" collapsed="false">
      <c r="A573" s="2" t="s">
        <v>1653</v>
      </c>
      <c r="B573" s="2" t="s">
        <v>970</v>
      </c>
      <c r="C573" s="6" t="n">
        <v>46064</v>
      </c>
      <c r="D573" s="2" t="s">
        <v>47</v>
      </c>
      <c r="E573" s="2" t="s">
        <v>1090</v>
      </c>
      <c r="F573" s="2" t="s">
        <v>1067</v>
      </c>
      <c r="G573" s="2" t="s">
        <v>1068</v>
      </c>
      <c r="H573" s="2" t="s">
        <v>45</v>
      </c>
      <c r="I573" s="2" t="s">
        <v>1069</v>
      </c>
    </row>
    <row r="574" customFormat="false" ht="15" hidden="false" customHeight="false" outlineLevel="0" collapsed="false">
      <c r="A574" s="2" t="s">
        <v>1654</v>
      </c>
      <c r="B574" s="2" t="s">
        <v>365</v>
      </c>
      <c r="C574" s="6" t="n">
        <v>46066</v>
      </c>
      <c r="D574" s="2" t="s">
        <v>47</v>
      </c>
      <c r="E574" s="2" t="s">
        <v>1080</v>
      </c>
      <c r="F574" s="2" t="s">
        <v>1067</v>
      </c>
      <c r="G574" s="2" t="s">
        <v>1068</v>
      </c>
      <c r="H574" s="2" t="s">
        <v>45</v>
      </c>
      <c r="I574" s="2" t="s">
        <v>1069</v>
      </c>
    </row>
    <row r="575" customFormat="false" ht="15" hidden="false" customHeight="false" outlineLevel="0" collapsed="false">
      <c r="A575" s="2" t="s">
        <v>1655</v>
      </c>
      <c r="B575" s="2" t="s">
        <v>832</v>
      </c>
      <c r="C575" s="6" t="n">
        <v>46066</v>
      </c>
      <c r="D575" s="2" t="s">
        <v>47</v>
      </c>
      <c r="E575" s="2" t="s">
        <v>1074</v>
      </c>
      <c r="F575" s="2" t="s">
        <v>1075</v>
      </c>
      <c r="G575" s="2" t="s">
        <v>1068</v>
      </c>
      <c r="H575" s="2" t="s">
        <v>45</v>
      </c>
      <c r="I575" s="2" t="s">
        <v>1072</v>
      </c>
    </row>
    <row r="576" customFormat="false" ht="15" hidden="false" customHeight="false" outlineLevel="0" collapsed="false">
      <c r="A576" s="2" t="s">
        <v>1656</v>
      </c>
      <c r="B576" s="2" t="s">
        <v>714</v>
      </c>
      <c r="C576" s="6" t="n">
        <v>46069</v>
      </c>
      <c r="D576" s="2" t="s">
        <v>47</v>
      </c>
      <c r="E576" s="2" t="s">
        <v>1099</v>
      </c>
      <c r="F576" s="2" t="s">
        <v>1075</v>
      </c>
      <c r="G576" s="2" t="s">
        <v>1068</v>
      </c>
      <c r="H576" s="2" t="s">
        <v>57</v>
      </c>
      <c r="I576" s="2" t="s">
        <v>1072</v>
      </c>
    </row>
    <row r="577" customFormat="false" ht="15" hidden="false" customHeight="false" outlineLevel="0" collapsed="false">
      <c r="A577" s="2" t="s">
        <v>1657</v>
      </c>
      <c r="B577" s="2" t="s">
        <v>1050</v>
      </c>
      <c r="C577" s="6" t="n">
        <v>46070</v>
      </c>
      <c r="D577" s="2" t="s">
        <v>47</v>
      </c>
      <c r="E577" s="2" t="s">
        <v>1095</v>
      </c>
      <c r="F577" s="2" t="s">
        <v>1075</v>
      </c>
      <c r="G577" s="2" t="s">
        <v>1068</v>
      </c>
      <c r="H577" s="2" t="s">
        <v>45</v>
      </c>
      <c r="I577" s="2" t="s">
        <v>1072</v>
      </c>
    </row>
    <row r="578" customFormat="false" ht="15" hidden="false" customHeight="false" outlineLevel="0" collapsed="false">
      <c r="A578" s="2" t="s">
        <v>1658</v>
      </c>
      <c r="B578" s="2" t="s">
        <v>841</v>
      </c>
      <c r="C578" s="6" t="n">
        <v>46076</v>
      </c>
      <c r="D578" s="2" t="s">
        <v>47</v>
      </c>
      <c r="E578" s="2" t="s">
        <v>1071</v>
      </c>
      <c r="F578" s="2" t="s">
        <v>1067</v>
      </c>
      <c r="G578" s="2" t="s">
        <v>1085</v>
      </c>
      <c r="H578" s="2" t="s">
        <v>67</v>
      </c>
      <c r="I578" s="2" t="s">
        <v>1069</v>
      </c>
    </row>
    <row r="579" customFormat="false" ht="15" hidden="false" customHeight="false" outlineLevel="0" collapsed="false">
      <c r="A579" s="2" t="s">
        <v>1659</v>
      </c>
      <c r="B579" s="2" t="s">
        <v>988</v>
      </c>
      <c r="C579" s="6" t="n">
        <v>46077</v>
      </c>
      <c r="D579" s="2" t="s">
        <v>47</v>
      </c>
      <c r="E579" s="2" t="s">
        <v>1095</v>
      </c>
      <c r="F579" s="2" t="s">
        <v>1075</v>
      </c>
      <c r="G579" s="2" t="s">
        <v>1068</v>
      </c>
      <c r="H579" s="2" t="s">
        <v>37</v>
      </c>
      <c r="I579" s="2" t="s">
        <v>1069</v>
      </c>
    </row>
    <row r="580" customFormat="false" ht="15" hidden="false" customHeight="false" outlineLevel="0" collapsed="false">
      <c r="A580" s="2" t="s">
        <v>1660</v>
      </c>
      <c r="B580" s="2" t="s">
        <v>778</v>
      </c>
      <c r="C580" s="6" t="n">
        <v>46079</v>
      </c>
      <c r="D580" s="2" t="s">
        <v>47</v>
      </c>
      <c r="E580" s="2" t="s">
        <v>1078</v>
      </c>
      <c r="F580" s="2" t="s">
        <v>1075</v>
      </c>
      <c r="G580" s="2" t="s">
        <v>1068</v>
      </c>
      <c r="H580" s="2" t="s">
        <v>57</v>
      </c>
      <c r="I580" s="2" t="s">
        <v>1093</v>
      </c>
    </row>
    <row r="581" customFormat="false" ht="15" hidden="false" customHeight="false" outlineLevel="0" collapsed="false">
      <c r="A581" s="2" t="s">
        <v>1661</v>
      </c>
      <c r="B581" s="2" t="s">
        <v>407</v>
      </c>
      <c r="C581" s="6" t="n">
        <v>46083</v>
      </c>
      <c r="D581" s="2" t="s">
        <v>47</v>
      </c>
      <c r="E581" s="2" t="s">
        <v>1095</v>
      </c>
      <c r="F581" s="2" t="s">
        <v>1075</v>
      </c>
      <c r="G581" s="2" t="s">
        <v>1068</v>
      </c>
      <c r="H581" s="2" t="s">
        <v>37</v>
      </c>
      <c r="I581" s="2" t="s">
        <v>1069</v>
      </c>
    </row>
    <row r="582" customFormat="false" ht="15" hidden="false" customHeight="false" outlineLevel="0" collapsed="false">
      <c r="A582" s="2" t="s">
        <v>1662</v>
      </c>
      <c r="B582" s="2" t="s">
        <v>974</v>
      </c>
      <c r="C582" s="6" t="n">
        <v>46085</v>
      </c>
      <c r="D582" s="2" t="s">
        <v>47</v>
      </c>
      <c r="E582" s="2" t="s">
        <v>1074</v>
      </c>
      <c r="F582" s="2" t="s">
        <v>1075</v>
      </c>
      <c r="G582" s="2" t="s">
        <v>1068</v>
      </c>
      <c r="H582" s="2" t="s">
        <v>57</v>
      </c>
      <c r="I582" s="2" t="s">
        <v>1072</v>
      </c>
    </row>
    <row r="583" customFormat="false" ht="15" hidden="false" customHeight="false" outlineLevel="0" collapsed="false">
      <c r="A583" s="2" t="s">
        <v>1663</v>
      </c>
      <c r="B583" s="2" t="s">
        <v>1038</v>
      </c>
      <c r="C583" s="6" t="n">
        <v>46085</v>
      </c>
      <c r="D583" s="2" t="s">
        <v>47</v>
      </c>
      <c r="E583" s="2" t="s">
        <v>1080</v>
      </c>
      <c r="F583" s="2" t="s">
        <v>1067</v>
      </c>
      <c r="G583" s="2" t="s">
        <v>1068</v>
      </c>
      <c r="H583" s="2" t="s">
        <v>37</v>
      </c>
      <c r="I583" s="2" t="s">
        <v>1069</v>
      </c>
    </row>
    <row r="584" customFormat="false" ht="15" hidden="false" customHeight="false" outlineLevel="0" collapsed="false">
      <c r="A584" s="2" t="s">
        <v>1664</v>
      </c>
      <c r="B584" s="2" t="s">
        <v>483</v>
      </c>
      <c r="C584" s="6" t="n">
        <v>46087</v>
      </c>
      <c r="D584" s="2" t="s">
        <v>47</v>
      </c>
      <c r="E584" s="2" t="s">
        <v>1074</v>
      </c>
      <c r="F584" s="2" t="s">
        <v>1075</v>
      </c>
      <c r="G584" s="2" t="s">
        <v>1068</v>
      </c>
      <c r="H584" s="2" t="s">
        <v>37</v>
      </c>
      <c r="I584" s="2" t="s">
        <v>1069</v>
      </c>
    </row>
    <row r="585" customFormat="false" ht="15" hidden="false" customHeight="false" outlineLevel="0" collapsed="false">
      <c r="A585" s="2" t="s">
        <v>1665</v>
      </c>
      <c r="B585" s="2" t="s">
        <v>258</v>
      </c>
      <c r="C585" s="6" t="n">
        <v>46090</v>
      </c>
      <c r="D585" s="2" t="s">
        <v>47</v>
      </c>
      <c r="E585" s="2" t="s">
        <v>1101</v>
      </c>
      <c r="F585" s="2" t="s">
        <v>1067</v>
      </c>
      <c r="G585" s="2" t="s">
        <v>1085</v>
      </c>
      <c r="H585" s="2" t="s">
        <v>67</v>
      </c>
      <c r="I585" s="2" t="s">
        <v>1069</v>
      </c>
    </row>
    <row r="586" customFormat="false" ht="15" hidden="false" customHeight="false" outlineLevel="0" collapsed="false">
      <c r="A586" s="2" t="s">
        <v>1666</v>
      </c>
      <c r="B586" s="2" t="s">
        <v>832</v>
      </c>
      <c r="C586" s="6" t="n">
        <v>46090</v>
      </c>
      <c r="D586" s="2" t="s">
        <v>47</v>
      </c>
      <c r="E586" s="2" t="s">
        <v>1114</v>
      </c>
      <c r="F586" s="2" t="s">
        <v>1075</v>
      </c>
      <c r="G586" s="2" t="s">
        <v>1068</v>
      </c>
      <c r="H586" s="2" t="s">
        <v>37</v>
      </c>
      <c r="I586" s="2" t="s">
        <v>1072</v>
      </c>
    </row>
    <row r="587" customFormat="false" ht="15" hidden="false" customHeight="false" outlineLevel="0" collapsed="false">
      <c r="A587" s="2" t="s">
        <v>1667</v>
      </c>
      <c r="B587" s="2" t="s">
        <v>964</v>
      </c>
      <c r="C587" s="6" t="n">
        <v>46091</v>
      </c>
      <c r="D587" s="2" t="s">
        <v>47</v>
      </c>
      <c r="E587" s="2" t="s">
        <v>1099</v>
      </c>
      <c r="F587" s="2" t="s">
        <v>1075</v>
      </c>
      <c r="G587" s="2" t="s">
        <v>1068</v>
      </c>
      <c r="H587" s="2" t="s">
        <v>45</v>
      </c>
      <c r="I587" s="2" t="s">
        <v>1093</v>
      </c>
    </row>
    <row r="588" customFormat="false" ht="15" hidden="false" customHeight="false" outlineLevel="0" collapsed="false">
      <c r="A588" s="2" t="s">
        <v>1668</v>
      </c>
      <c r="B588" s="2" t="s">
        <v>489</v>
      </c>
      <c r="C588" s="6" t="n">
        <v>46092</v>
      </c>
      <c r="D588" s="2" t="s">
        <v>47</v>
      </c>
      <c r="E588" s="2" t="s">
        <v>1114</v>
      </c>
      <c r="F588" s="2" t="s">
        <v>1075</v>
      </c>
      <c r="G588" s="2" t="s">
        <v>1068</v>
      </c>
      <c r="H588" s="2" t="s">
        <v>45</v>
      </c>
      <c r="I588" s="2" t="s">
        <v>1072</v>
      </c>
    </row>
    <row r="589" customFormat="false" ht="15" hidden="false" customHeight="false" outlineLevel="0" collapsed="false">
      <c r="A589" s="2" t="s">
        <v>1669</v>
      </c>
      <c r="B589" s="2" t="s">
        <v>258</v>
      </c>
      <c r="C589" s="6" t="n">
        <v>46097</v>
      </c>
      <c r="D589" s="2" t="s">
        <v>47</v>
      </c>
      <c r="E589" s="2" t="s">
        <v>1071</v>
      </c>
      <c r="F589" s="2" t="s">
        <v>1067</v>
      </c>
      <c r="G589" s="2" t="s">
        <v>1068</v>
      </c>
      <c r="H589" s="2" t="s">
        <v>37</v>
      </c>
      <c r="I589" s="2" t="s">
        <v>1093</v>
      </c>
    </row>
    <row r="590" customFormat="false" ht="15" hidden="false" customHeight="false" outlineLevel="0" collapsed="false">
      <c r="A590" s="2" t="s">
        <v>1670</v>
      </c>
      <c r="B590" s="2" t="s">
        <v>1002</v>
      </c>
      <c r="C590" s="6" t="n">
        <v>46097</v>
      </c>
      <c r="D590" s="2" t="s">
        <v>47</v>
      </c>
      <c r="E590" s="2" t="s">
        <v>1066</v>
      </c>
      <c r="F590" s="2" t="s">
        <v>1067</v>
      </c>
      <c r="G590" s="2" t="s">
        <v>1085</v>
      </c>
      <c r="H590" s="2" t="s">
        <v>67</v>
      </c>
      <c r="I590" s="2" t="s">
        <v>1069</v>
      </c>
    </row>
    <row r="591" customFormat="false" ht="15" hidden="false" customHeight="false" outlineLevel="0" collapsed="false">
      <c r="A591" s="2" t="s">
        <v>1671</v>
      </c>
      <c r="B591" s="2" t="s">
        <v>1054</v>
      </c>
      <c r="C591" s="6" t="n">
        <v>46097</v>
      </c>
      <c r="D591" s="2" t="s">
        <v>47</v>
      </c>
      <c r="E591" s="2" t="s">
        <v>1095</v>
      </c>
      <c r="F591" s="2" t="s">
        <v>1075</v>
      </c>
      <c r="G591" s="2" t="s">
        <v>1068</v>
      </c>
      <c r="H591" s="2" t="s">
        <v>57</v>
      </c>
      <c r="I591" s="2" t="s">
        <v>1069</v>
      </c>
    </row>
    <row r="592" customFormat="false" ht="15" hidden="false" customHeight="false" outlineLevel="0" collapsed="false">
      <c r="A592" s="2" t="s">
        <v>1672</v>
      </c>
      <c r="B592" s="2" t="s">
        <v>244</v>
      </c>
      <c r="C592" s="6" t="n">
        <v>46099</v>
      </c>
      <c r="D592" s="2" t="s">
        <v>47</v>
      </c>
      <c r="E592" s="2" t="s">
        <v>1071</v>
      </c>
      <c r="F592" s="2" t="s">
        <v>1067</v>
      </c>
      <c r="G592" s="2" t="s">
        <v>1068</v>
      </c>
      <c r="H592" s="2" t="s">
        <v>57</v>
      </c>
      <c r="I592" s="2" t="s">
        <v>1069</v>
      </c>
    </row>
    <row r="593" customFormat="false" ht="15" hidden="false" customHeight="false" outlineLevel="0" collapsed="false">
      <c r="A593" s="2" t="s">
        <v>1673</v>
      </c>
      <c r="B593" s="2" t="s">
        <v>1002</v>
      </c>
      <c r="C593" s="6" t="n">
        <v>46099</v>
      </c>
      <c r="D593" s="2" t="s">
        <v>47</v>
      </c>
      <c r="E593" s="2" t="s">
        <v>1066</v>
      </c>
      <c r="F593" s="2" t="s">
        <v>1067</v>
      </c>
      <c r="G593" s="2" t="s">
        <v>1068</v>
      </c>
      <c r="H593" s="2" t="s">
        <v>37</v>
      </c>
      <c r="I593" s="2" t="s">
        <v>1072</v>
      </c>
    </row>
    <row r="594" customFormat="false" ht="15" hidden="false" customHeight="false" outlineLevel="0" collapsed="false">
      <c r="A594" s="2" t="s">
        <v>1674</v>
      </c>
      <c r="B594" s="2" t="s">
        <v>835</v>
      </c>
      <c r="C594" s="6" t="n">
        <v>46100</v>
      </c>
      <c r="D594" s="2" t="s">
        <v>47</v>
      </c>
      <c r="E594" s="2" t="s">
        <v>1080</v>
      </c>
      <c r="F594" s="2" t="s">
        <v>1067</v>
      </c>
      <c r="G594" s="2" t="s">
        <v>1085</v>
      </c>
      <c r="H594" s="2" t="s">
        <v>67</v>
      </c>
      <c r="I594" s="2" t="s">
        <v>1072</v>
      </c>
    </row>
    <row r="595" customFormat="false" ht="15" hidden="false" customHeight="false" outlineLevel="0" collapsed="false">
      <c r="A595" s="2" t="s">
        <v>1675</v>
      </c>
      <c r="B595" s="2" t="s">
        <v>151</v>
      </c>
      <c r="C595" s="6" t="n">
        <v>46101</v>
      </c>
      <c r="D595" s="2" t="s">
        <v>47</v>
      </c>
      <c r="E595" s="2" t="s">
        <v>1101</v>
      </c>
      <c r="F595" s="2" t="s">
        <v>1067</v>
      </c>
      <c r="G595" s="2" t="s">
        <v>1068</v>
      </c>
      <c r="H595" s="2" t="s">
        <v>45</v>
      </c>
      <c r="I595" s="2" t="s">
        <v>1093</v>
      </c>
    </row>
    <row r="596" customFormat="false" ht="15" hidden="false" customHeight="false" outlineLevel="0" collapsed="false">
      <c r="A596" s="2" t="s">
        <v>1676</v>
      </c>
      <c r="B596" s="2" t="s">
        <v>667</v>
      </c>
      <c r="C596" s="6" t="n">
        <v>46101</v>
      </c>
      <c r="D596" s="2" t="s">
        <v>47</v>
      </c>
      <c r="E596" s="2" t="s">
        <v>1101</v>
      </c>
      <c r="F596" s="2" t="s">
        <v>1067</v>
      </c>
      <c r="G596" s="2" t="s">
        <v>1068</v>
      </c>
      <c r="H596" s="2" t="s">
        <v>45</v>
      </c>
      <c r="I596" s="2" t="s">
        <v>1072</v>
      </c>
    </row>
    <row r="597" customFormat="false" ht="15" hidden="false" customHeight="false" outlineLevel="0" collapsed="false">
      <c r="A597" s="2" t="s">
        <v>1677</v>
      </c>
      <c r="B597" s="2" t="s">
        <v>1024</v>
      </c>
      <c r="C597" s="6" t="n">
        <v>46104</v>
      </c>
      <c r="D597" s="2" t="s">
        <v>47</v>
      </c>
      <c r="E597" s="2" t="s">
        <v>1080</v>
      </c>
      <c r="F597" s="2" t="s">
        <v>1067</v>
      </c>
      <c r="G597" s="2" t="s">
        <v>1068</v>
      </c>
      <c r="H597" s="2" t="s">
        <v>45</v>
      </c>
      <c r="I597" s="2" t="s">
        <v>1072</v>
      </c>
    </row>
    <row r="598" customFormat="false" ht="15" hidden="false" customHeight="false" outlineLevel="0" collapsed="false">
      <c r="A598" s="2" t="s">
        <v>1678</v>
      </c>
      <c r="B598" s="2" t="s">
        <v>328</v>
      </c>
      <c r="C598" s="6" t="n">
        <v>46106</v>
      </c>
      <c r="D598" s="2" t="s">
        <v>47</v>
      </c>
      <c r="E598" s="2" t="s">
        <v>1074</v>
      </c>
      <c r="F598" s="2" t="s">
        <v>1075</v>
      </c>
      <c r="G598" s="2" t="s">
        <v>1068</v>
      </c>
      <c r="H598" s="2" t="s">
        <v>45</v>
      </c>
      <c r="I598" s="2" t="s">
        <v>1069</v>
      </c>
    </row>
    <row r="599" customFormat="false" ht="15" hidden="false" customHeight="false" outlineLevel="0" collapsed="false">
      <c r="A599" s="2" t="s">
        <v>1679</v>
      </c>
      <c r="B599" s="2" t="s">
        <v>900</v>
      </c>
      <c r="C599" s="6" t="n">
        <v>46107</v>
      </c>
      <c r="D599" s="2" t="s">
        <v>47</v>
      </c>
      <c r="E599" s="2" t="s">
        <v>1101</v>
      </c>
      <c r="F599" s="2" t="s">
        <v>1067</v>
      </c>
      <c r="G599" s="2" t="s">
        <v>1068</v>
      </c>
      <c r="H599" s="2" t="s">
        <v>45</v>
      </c>
      <c r="I599" s="2" t="s">
        <v>1069</v>
      </c>
    </row>
    <row r="600" customFormat="false" ht="15" hidden="false" customHeight="false" outlineLevel="0" collapsed="false">
      <c r="A600" s="2" t="s">
        <v>1680</v>
      </c>
      <c r="B600" s="2" t="s">
        <v>647</v>
      </c>
      <c r="C600" s="6" t="n">
        <v>46108</v>
      </c>
      <c r="D600" s="2" t="s">
        <v>47</v>
      </c>
      <c r="E600" s="2" t="s">
        <v>1095</v>
      </c>
      <c r="F600" s="2" t="s">
        <v>1075</v>
      </c>
      <c r="G600" s="2" t="s">
        <v>1068</v>
      </c>
      <c r="H600" s="2" t="s">
        <v>57</v>
      </c>
      <c r="I600" s="2" t="s">
        <v>1069</v>
      </c>
    </row>
    <row r="601" customFormat="false" ht="15" hidden="false" customHeight="false" outlineLevel="0" collapsed="false">
      <c r="A601" s="2" t="s">
        <v>1681</v>
      </c>
      <c r="B601" s="2" t="s">
        <v>1024</v>
      </c>
      <c r="C601" s="6" t="n">
        <v>46111</v>
      </c>
      <c r="D601" s="2" t="s">
        <v>47</v>
      </c>
      <c r="E601" s="2" t="s">
        <v>1114</v>
      </c>
      <c r="F601" s="2" t="s">
        <v>1075</v>
      </c>
      <c r="G601" s="2" t="s">
        <v>1068</v>
      </c>
      <c r="H601" s="2" t="s">
        <v>57</v>
      </c>
      <c r="I601" s="2" t="s">
        <v>1069</v>
      </c>
    </row>
    <row r="602" customFormat="false" ht="15" hidden="false" customHeight="false" outlineLevel="0" collapsed="false">
      <c r="A602" s="2" t="s">
        <v>1682</v>
      </c>
      <c r="B602" s="2" t="s">
        <v>778</v>
      </c>
      <c r="C602" s="6" t="n">
        <v>46114</v>
      </c>
      <c r="D602" s="2" t="s">
        <v>47</v>
      </c>
      <c r="E602" s="2" t="s">
        <v>1095</v>
      </c>
      <c r="F602" s="2" t="s">
        <v>1075</v>
      </c>
      <c r="G602" s="2" t="s">
        <v>1068</v>
      </c>
      <c r="H602" s="2" t="s">
        <v>45</v>
      </c>
      <c r="I602" s="2" t="s">
        <v>1069</v>
      </c>
    </row>
    <row r="603" customFormat="false" ht="15" hidden="false" customHeight="false" outlineLevel="0" collapsed="false">
      <c r="A603" s="2" t="s">
        <v>1683</v>
      </c>
      <c r="B603" s="2" t="s">
        <v>942</v>
      </c>
      <c r="C603" s="6" t="n">
        <v>46114</v>
      </c>
      <c r="D603" s="2" t="s">
        <v>47</v>
      </c>
      <c r="E603" s="2" t="s">
        <v>1080</v>
      </c>
      <c r="F603" s="2" t="s">
        <v>1067</v>
      </c>
      <c r="G603" s="2" t="s">
        <v>1068</v>
      </c>
      <c r="H603" s="2" t="s">
        <v>37</v>
      </c>
      <c r="I603" s="2" t="s">
        <v>1093</v>
      </c>
    </row>
    <row r="604" customFormat="false" ht="15" hidden="false" customHeight="false" outlineLevel="0" collapsed="false">
      <c r="A604" s="2" t="s">
        <v>1684</v>
      </c>
      <c r="B604" s="2" t="s">
        <v>964</v>
      </c>
      <c r="C604" s="6" t="n">
        <v>46118</v>
      </c>
      <c r="D604" s="2" t="s">
        <v>47</v>
      </c>
      <c r="E604" s="2" t="s">
        <v>1080</v>
      </c>
      <c r="F604" s="2" t="s">
        <v>1067</v>
      </c>
      <c r="G604" s="2" t="s">
        <v>1068</v>
      </c>
      <c r="H604" s="2" t="s">
        <v>57</v>
      </c>
      <c r="I604" s="2" t="s">
        <v>1093</v>
      </c>
    </row>
    <row r="605" customFormat="false" ht="15" hidden="false" customHeight="false" outlineLevel="0" collapsed="false">
      <c r="A605" s="2" t="s">
        <v>1685</v>
      </c>
      <c r="B605" s="2" t="s">
        <v>944</v>
      </c>
      <c r="C605" s="6" t="n">
        <v>46119</v>
      </c>
      <c r="D605" s="2" t="s">
        <v>47</v>
      </c>
      <c r="E605" s="2" t="s">
        <v>1071</v>
      </c>
      <c r="F605" s="2" t="s">
        <v>1067</v>
      </c>
      <c r="G605" s="2" t="s">
        <v>1068</v>
      </c>
      <c r="H605" s="2" t="s">
        <v>37</v>
      </c>
      <c r="I605" s="2" t="s">
        <v>1072</v>
      </c>
    </row>
    <row r="606" customFormat="false" ht="15" hidden="false" customHeight="false" outlineLevel="0" collapsed="false">
      <c r="A606" s="2" t="s">
        <v>1686</v>
      </c>
      <c r="B606" s="2" t="s">
        <v>29</v>
      </c>
      <c r="C606" s="6" t="n">
        <v>46122</v>
      </c>
      <c r="D606" s="2" t="s">
        <v>47</v>
      </c>
      <c r="E606" s="2" t="s">
        <v>1099</v>
      </c>
      <c r="F606" s="2" t="s">
        <v>1075</v>
      </c>
      <c r="G606" s="2" t="s">
        <v>1068</v>
      </c>
      <c r="H606" s="2" t="s">
        <v>57</v>
      </c>
      <c r="I606" s="2" t="s">
        <v>1072</v>
      </c>
    </row>
    <row r="607" customFormat="false" ht="15" hidden="false" customHeight="false" outlineLevel="0" collapsed="false">
      <c r="A607" s="2" t="s">
        <v>1687</v>
      </c>
      <c r="B607" s="2" t="s">
        <v>919</v>
      </c>
      <c r="C607" s="6" t="n">
        <v>46125</v>
      </c>
      <c r="D607" s="2" t="s">
        <v>47</v>
      </c>
      <c r="E607" s="2" t="s">
        <v>1078</v>
      </c>
      <c r="F607" s="2" t="s">
        <v>1075</v>
      </c>
      <c r="G607" s="2" t="s">
        <v>1068</v>
      </c>
      <c r="H607" s="2" t="s">
        <v>37</v>
      </c>
      <c r="I607" s="2" t="s">
        <v>1072</v>
      </c>
    </row>
    <row r="608" customFormat="false" ht="15" hidden="false" customHeight="false" outlineLevel="0" collapsed="false">
      <c r="A608" s="2" t="s">
        <v>1688</v>
      </c>
      <c r="B608" s="2" t="s">
        <v>925</v>
      </c>
      <c r="C608" s="6" t="n">
        <v>46128</v>
      </c>
      <c r="D608" s="2" t="s">
        <v>47</v>
      </c>
      <c r="E608" s="2" t="s">
        <v>1071</v>
      </c>
      <c r="F608" s="2" t="s">
        <v>1067</v>
      </c>
      <c r="G608" s="2" t="s">
        <v>1068</v>
      </c>
      <c r="H608" s="2" t="s">
        <v>57</v>
      </c>
      <c r="I608" s="2" t="s">
        <v>1069</v>
      </c>
    </row>
    <row r="609" customFormat="false" ht="15" hidden="false" customHeight="false" outlineLevel="0" collapsed="false">
      <c r="A609" s="2" t="s">
        <v>1689</v>
      </c>
      <c r="B609" s="2" t="s">
        <v>29</v>
      </c>
      <c r="C609" s="6" t="n">
        <v>46132</v>
      </c>
      <c r="D609" s="2" t="s">
        <v>47</v>
      </c>
      <c r="E609" s="2" t="s">
        <v>1080</v>
      </c>
      <c r="F609" s="2" t="s">
        <v>1067</v>
      </c>
      <c r="G609" s="2" t="s">
        <v>1068</v>
      </c>
      <c r="H609" s="2" t="s">
        <v>45</v>
      </c>
      <c r="I609" s="2" t="s">
        <v>1072</v>
      </c>
    </row>
    <row r="610" customFormat="false" ht="15" hidden="false" customHeight="false" outlineLevel="0" collapsed="false">
      <c r="A610" s="2" t="s">
        <v>1690</v>
      </c>
      <c r="B610" s="2" t="s">
        <v>808</v>
      </c>
      <c r="C610" s="6" t="n">
        <v>46132</v>
      </c>
      <c r="D610" s="2" t="s">
        <v>47</v>
      </c>
      <c r="E610" s="2" t="s">
        <v>1095</v>
      </c>
      <c r="F610" s="2" t="s">
        <v>1075</v>
      </c>
      <c r="G610" s="2" t="s">
        <v>1068</v>
      </c>
      <c r="H610" s="2" t="s">
        <v>45</v>
      </c>
      <c r="I610" s="2" t="s">
        <v>1069</v>
      </c>
    </row>
    <row r="611" customFormat="false" ht="15" hidden="false" customHeight="false" outlineLevel="0" collapsed="false">
      <c r="A611" s="2" t="s">
        <v>1691</v>
      </c>
      <c r="B611" s="2" t="s">
        <v>1014</v>
      </c>
      <c r="C611" s="6" t="n">
        <v>46132</v>
      </c>
      <c r="D611" s="2" t="s">
        <v>47</v>
      </c>
      <c r="E611" s="2" t="s">
        <v>1090</v>
      </c>
      <c r="F611" s="2" t="s">
        <v>1067</v>
      </c>
      <c r="G611" s="2" t="s">
        <v>1068</v>
      </c>
      <c r="H611" s="2" t="s">
        <v>45</v>
      </c>
      <c r="I611" s="2" t="s">
        <v>1069</v>
      </c>
    </row>
    <row r="612" customFormat="false" ht="15" hidden="false" customHeight="false" outlineLevel="0" collapsed="false">
      <c r="A612" s="2" t="s">
        <v>1692</v>
      </c>
      <c r="B612" s="2" t="s">
        <v>790</v>
      </c>
      <c r="C612" s="6" t="n">
        <v>46133</v>
      </c>
      <c r="D612" s="2" t="s">
        <v>47</v>
      </c>
      <c r="E612" s="2" t="s">
        <v>1090</v>
      </c>
      <c r="F612" s="2" t="s">
        <v>1067</v>
      </c>
      <c r="G612" s="2" t="s">
        <v>1068</v>
      </c>
      <c r="H612" s="2" t="s">
        <v>45</v>
      </c>
      <c r="I612" s="2" t="s">
        <v>1093</v>
      </c>
    </row>
    <row r="613" customFormat="false" ht="15" hidden="false" customHeight="false" outlineLevel="0" collapsed="false">
      <c r="A613" s="2" t="s">
        <v>1693</v>
      </c>
      <c r="B613" s="2" t="s">
        <v>942</v>
      </c>
      <c r="C613" s="6" t="n">
        <v>46136</v>
      </c>
      <c r="D613" s="2" t="s">
        <v>47</v>
      </c>
      <c r="E613" s="2" t="s">
        <v>1074</v>
      </c>
      <c r="F613" s="2" t="s">
        <v>1075</v>
      </c>
      <c r="G613" s="2" t="s">
        <v>1068</v>
      </c>
      <c r="H613" s="2" t="s">
        <v>37</v>
      </c>
      <c r="I613" s="2" t="s">
        <v>1069</v>
      </c>
    </row>
    <row r="614" customFormat="false" ht="15" hidden="false" customHeight="false" outlineLevel="0" collapsed="false">
      <c r="A614" s="2" t="s">
        <v>1694</v>
      </c>
      <c r="B614" s="2" t="s">
        <v>811</v>
      </c>
      <c r="C614" s="6" t="n">
        <v>46140</v>
      </c>
      <c r="D614" s="2" t="s">
        <v>47</v>
      </c>
      <c r="E614" s="2" t="s">
        <v>1090</v>
      </c>
      <c r="F614" s="2" t="s">
        <v>1067</v>
      </c>
      <c r="G614" s="2" t="s">
        <v>1068</v>
      </c>
      <c r="H614" s="2" t="s">
        <v>45</v>
      </c>
      <c r="I614" s="2" t="s">
        <v>1072</v>
      </c>
    </row>
    <row r="615" customFormat="false" ht="15" hidden="false" customHeight="false" outlineLevel="0" collapsed="false">
      <c r="A615" s="2" t="s">
        <v>1695</v>
      </c>
      <c r="B615" s="2" t="s">
        <v>1016</v>
      </c>
      <c r="C615" s="6" t="n">
        <v>46140</v>
      </c>
      <c r="D615" s="2" t="s">
        <v>47</v>
      </c>
      <c r="E615" s="2" t="s">
        <v>1066</v>
      </c>
      <c r="F615" s="2" t="s">
        <v>1067</v>
      </c>
      <c r="G615" s="2" t="s">
        <v>1068</v>
      </c>
      <c r="H615" s="2" t="s">
        <v>45</v>
      </c>
      <c r="I615" s="2" t="s">
        <v>1072</v>
      </c>
    </row>
    <row r="616" customFormat="false" ht="15" hidden="false" customHeight="false" outlineLevel="0" collapsed="false">
      <c r="A616" s="2" t="s">
        <v>1696</v>
      </c>
      <c r="B616" s="2" t="s">
        <v>1008</v>
      </c>
      <c r="C616" s="6" t="n">
        <v>46142</v>
      </c>
      <c r="D616" s="2" t="s">
        <v>47</v>
      </c>
      <c r="E616" s="2" t="s">
        <v>1066</v>
      </c>
      <c r="F616" s="2" t="s">
        <v>1067</v>
      </c>
      <c r="G616" s="2" t="s">
        <v>1085</v>
      </c>
      <c r="H616" s="2" t="s">
        <v>67</v>
      </c>
      <c r="I616" s="2" t="s">
        <v>1072</v>
      </c>
    </row>
    <row r="617" customFormat="false" ht="15" hidden="false" customHeight="false" outlineLevel="0" collapsed="false">
      <c r="A617" s="2" t="s">
        <v>1697</v>
      </c>
      <c r="B617" s="2" t="s">
        <v>1042</v>
      </c>
      <c r="C617" s="6" t="n">
        <v>46142</v>
      </c>
      <c r="D617" s="2" t="s">
        <v>47</v>
      </c>
      <c r="E617" s="2" t="s">
        <v>1080</v>
      </c>
      <c r="F617" s="2" t="s">
        <v>1067</v>
      </c>
      <c r="G617" s="2" t="s">
        <v>1068</v>
      </c>
      <c r="H617" s="2" t="s">
        <v>45</v>
      </c>
      <c r="I617" s="2" t="s">
        <v>1069</v>
      </c>
    </row>
    <row r="618" customFormat="false" ht="15" hidden="false" customHeight="false" outlineLevel="0" collapsed="false">
      <c r="A618" s="2" t="s">
        <v>1698</v>
      </c>
      <c r="B618" s="2" t="s">
        <v>942</v>
      </c>
      <c r="C618" s="6" t="n">
        <v>46143</v>
      </c>
      <c r="D618" s="2" t="s">
        <v>47</v>
      </c>
      <c r="E618" s="2" t="s">
        <v>1080</v>
      </c>
      <c r="F618" s="2" t="s">
        <v>1067</v>
      </c>
      <c r="G618" s="2" t="s">
        <v>1068</v>
      </c>
      <c r="H618" s="2" t="s">
        <v>45</v>
      </c>
      <c r="I618" s="2" t="s">
        <v>1072</v>
      </c>
    </row>
    <row r="619" customFormat="false" ht="15" hidden="false" customHeight="false" outlineLevel="0" collapsed="false">
      <c r="A619" s="2" t="s">
        <v>1699</v>
      </c>
      <c r="B619" s="2" t="s">
        <v>1054</v>
      </c>
      <c r="C619" s="6" t="n">
        <v>46143</v>
      </c>
      <c r="D619" s="2" t="s">
        <v>47</v>
      </c>
      <c r="E619" s="2" t="s">
        <v>1114</v>
      </c>
      <c r="F619" s="2" t="s">
        <v>1075</v>
      </c>
      <c r="G619" s="2" t="s">
        <v>1068</v>
      </c>
      <c r="H619" s="2" t="s">
        <v>37</v>
      </c>
      <c r="I619" s="2" t="s">
        <v>1069</v>
      </c>
    </row>
    <row r="620" customFormat="false" ht="15" hidden="false" customHeight="false" outlineLevel="0" collapsed="false">
      <c r="A620" s="2" t="s">
        <v>1700</v>
      </c>
      <c r="B620" s="2" t="s">
        <v>483</v>
      </c>
      <c r="C620" s="6" t="n">
        <v>46147</v>
      </c>
      <c r="D620" s="2" t="s">
        <v>47</v>
      </c>
      <c r="E620" s="2" t="s">
        <v>1071</v>
      </c>
      <c r="F620" s="2" t="s">
        <v>1067</v>
      </c>
      <c r="G620" s="2" t="s">
        <v>1085</v>
      </c>
      <c r="H620" s="2" t="s">
        <v>67</v>
      </c>
      <c r="I620" s="2" t="s">
        <v>1069</v>
      </c>
    </row>
    <row r="621" customFormat="false" ht="15" hidden="false" customHeight="false" outlineLevel="0" collapsed="false">
      <c r="A621" s="2" t="s">
        <v>1701</v>
      </c>
      <c r="B621" s="2" t="s">
        <v>1034</v>
      </c>
      <c r="C621" s="6" t="n">
        <v>46150</v>
      </c>
      <c r="D621" s="2" t="s">
        <v>47</v>
      </c>
      <c r="E621" s="2" t="s">
        <v>1066</v>
      </c>
      <c r="F621" s="2" t="s">
        <v>1067</v>
      </c>
      <c r="G621" s="2" t="s">
        <v>1085</v>
      </c>
      <c r="H621" s="2" t="s">
        <v>67</v>
      </c>
      <c r="I621" s="2" t="s">
        <v>1069</v>
      </c>
    </row>
    <row r="622" customFormat="false" ht="15" hidden="false" customHeight="false" outlineLevel="0" collapsed="false">
      <c r="A622" s="2" t="s">
        <v>1702</v>
      </c>
      <c r="B622" s="2" t="s">
        <v>596</v>
      </c>
      <c r="C622" s="6" t="n">
        <v>46168</v>
      </c>
      <c r="D622" s="2" t="s">
        <v>47</v>
      </c>
      <c r="E622" s="2" t="s">
        <v>1090</v>
      </c>
      <c r="F622" s="2" t="s">
        <v>1067</v>
      </c>
      <c r="G622" s="2" t="s">
        <v>1068</v>
      </c>
      <c r="H622" s="2" t="s">
        <v>57</v>
      </c>
      <c r="I622" s="2" t="s">
        <v>1069</v>
      </c>
    </row>
    <row r="623" customFormat="false" ht="15" hidden="false" customHeight="false" outlineLevel="0" collapsed="false">
      <c r="A623" s="2" t="s">
        <v>1703</v>
      </c>
      <c r="B623" s="2" t="s">
        <v>826</v>
      </c>
      <c r="C623" s="6" t="n">
        <v>46170</v>
      </c>
      <c r="D623" s="2" t="s">
        <v>47</v>
      </c>
      <c r="E623" s="2" t="s">
        <v>1066</v>
      </c>
      <c r="F623" s="2" t="s">
        <v>1067</v>
      </c>
      <c r="G623" s="2" t="s">
        <v>1068</v>
      </c>
      <c r="H623" s="2" t="s">
        <v>37</v>
      </c>
      <c r="I623" s="2" t="s">
        <v>1069</v>
      </c>
    </row>
    <row r="624" customFormat="false" ht="15" hidden="false" customHeight="false" outlineLevel="0" collapsed="false">
      <c r="A624" s="2" t="s">
        <v>1704</v>
      </c>
      <c r="B624" s="2" t="s">
        <v>864</v>
      </c>
      <c r="C624" s="6" t="n">
        <v>46171</v>
      </c>
      <c r="D624" s="2" t="s">
        <v>47</v>
      </c>
      <c r="E624" s="2" t="s">
        <v>1071</v>
      </c>
      <c r="F624" s="2" t="s">
        <v>1067</v>
      </c>
      <c r="G624" s="2" t="s">
        <v>1068</v>
      </c>
      <c r="H624" s="2" t="s">
        <v>37</v>
      </c>
      <c r="I624" s="2" t="s">
        <v>1072</v>
      </c>
    </row>
  </sheetData>
  <autoFilter ref="A1:I6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4"/>
  </cols>
  <sheetData>
    <row r="1" customFormat="false" ht="15" hidden="false" customHeight="false" outlineLevel="0" collapsed="false">
      <c r="A1" s="7" t="s">
        <v>1705</v>
      </c>
      <c r="B1" s="7" t="s">
        <v>1706</v>
      </c>
      <c r="C1" s="7" t="s">
        <v>1707</v>
      </c>
      <c r="D1" s="7" t="s">
        <v>1708</v>
      </c>
      <c r="E1" s="7" t="s">
        <v>1709</v>
      </c>
      <c r="F1" s="7" t="s">
        <v>1710</v>
      </c>
    </row>
    <row r="2" customFormat="false" ht="15" hidden="false" customHeight="false" outlineLevel="0" collapsed="false">
      <c r="A2" s="2" t="s">
        <v>30</v>
      </c>
      <c r="B2" s="2" t="n">
        <f aca="false">COUNTIFS(student_academic_year!$C$2:$C$661,$A2,student_academic_year!$M$2:$M$661,"Low")</f>
        <v>82</v>
      </c>
      <c r="C2" s="2" t="n">
        <f aca="false">COUNTIFS(student_academic_year!$C$2:$C$661,$A2,student_academic_year!$M$2:$M$661,"Medium")</f>
        <v>49</v>
      </c>
      <c r="D2" s="2" t="n">
        <f aca="false">COUNTIFS(student_academic_year!$C$2:$C$661,$A2,student_academic_year!$M$2:$M$661,"High")</f>
        <v>35</v>
      </c>
      <c r="E2" s="2" t="n">
        <f aca="false">COUNTIFS(student_academic_year!$C$2:$C$661,$A2,student_academic_year!$L$2:$L$661,"")</f>
        <v>54</v>
      </c>
      <c r="F2" s="2" t="n">
        <f aca="false">COUNTIF(student_academic_year!$C$2:$C$661,$A2)</f>
        <v>220</v>
      </c>
    </row>
    <row r="3" customFormat="false" ht="15" hidden="false" customHeight="false" outlineLevel="0" collapsed="false">
      <c r="A3" s="2" t="s">
        <v>39</v>
      </c>
      <c r="B3" s="2" t="n">
        <f aca="false">COUNTIFS(student_academic_year!$C$2:$C$661,$A3,student_academic_year!$M$2:$M$661,"Low")</f>
        <v>74</v>
      </c>
      <c r="C3" s="2" t="n">
        <f aca="false">COUNTIFS(student_academic_year!$C$2:$C$661,$A3,student_academic_year!$M$2:$M$661,"Medium")</f>
        <v>44</v>
      </c>
      <c r="D3" s="2" t="n">
        <f aca="false">COUNTIFS(student_academic_year!$C$2:$C$661,$A3,student_academic_year!$M$2:$M$661,"High")</f>
        <v>36</v>
      </c>
      <c r="E3" s="2" t="n">
        <f aca="false">COUNTIFS(student_academic_year!$C$2:$C$661,$A3,student_academic_year!$L$2:$L$661,"")</f>
        <v>72</v>
      </c>
      <c r="F3" s="2" t="n">
        <f aca="false">COUNTIF(student_academic_year!$C$2:$C$661,$A3)</f>
        <v>226</v>
      </c>
    </row>
    <row r="4" customFormat="false" ht="15" hidden="false" customHeight="false" outlineLevel="0" collapsed="false">
      <c r="A4" s="2" t="s">
        <v>47</v>
      </c>
      <c r="B4" s="2" t="n">
        <f aca="false">COUNTIFS(student_academic_year!$C$2:$C$661,$A4,student_academic_year!$M$2:$M$661,"Low")</f>
        <v>0</v>
      </c>
      <c r="C4" s="2" t="n">
        <f aca="false">COUNTIFS(student_academic_year!$C$2:$C$661,$A4,student_academic_year!$M$2:$M$661,"Medium")</f>
        <v>0</v>
      </c>
      <c r="D4" s="2" t="n">
        <f aca="false">COUNTIFS(student_academic_year!$C$2:$C$661,$A4,student_academic_year!$M$2:$M$661,"High")</f>
        <v>0</v>
      </c>
      <c r="E4" s="2" t="n">
        <f aca="false">COUNTIFS(student_academic_year!$C$2:$C$661,$A4,student_academic_year!$L$2:$L$661,"")</f>
        <v>214</v>
      </c>
      <c r="F4" s="2" t="n">
        <f aca="false">COUNTIF(student_academic_year!$C$2:$C$661,$A4)</f>
        <v>214</v>
      </c>
    </row>
    <row r="5" customFormat="false" ht="15" hidden="false" customHeight="false" outlineLevel="0" collapsed="false">
      <c r="A5" s="4" t="s">
        <v>1711</v>
      </c>
      <c r="B5" s="4" t="n">
        <f aca="false">SUM(B2:B4)</f>
        <v>156</v>
      </c>
      <c r="C5" s="4" t="n">
        <f aca="false">SUM(C2:C4)</f>
        <v>93</v>
      </c>
      <c r="D5" s="4" t="n">
        <f aca="false">SUM(D2:D4)</f>
        <v>71</v>
      </c>
      <c r="E5" s="4" t="n">
        <f aca="false">SUM(E2:E4)</f>
        <v>340</v>
      </c>
      <c r="F5" s="4" t="n">
        <f aca="false">SUM(F2:F4)</f>
        <v>660</v>
      </c>
    </row>
    <row r="6" customFormat="false" ht="15" hidden="false" customHeight="false" outlineLevel="0" collapsed="false">
      <c r="A6" s="2"/>
      <c r="B6" s="2"/>
      <c r="C6" s="2"/>
      <c r="D6" s="2"/>
      <c r="E6" s="2"/>
      <c r="F6" s="2"/>
    </row>
    <row r="7" customFormat="false" ht="15" hidden="false" customHeight="false" outlineLevel="0" collapsed="false">
      <c r="A7" s="2" t="s">
        <v>1712</v>
      </c>
      <c r="B7" s="2" t="n">
        <f aca="false">COUNTA(violations!$A$2:$A$624)</f>
        <v>623</v>
      </c>
      <c r="C7" s="2"/>
      <c r="D7" s="2"/>
      <c r="E7" s="2"/>
      <c r="F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2026-10-01T03:38:15Z</dcterms:created>
  <dc:creator>openpyxl</dc:creator>
  <dc:description/>
  <dc:language>en-US</dc:language>
  <cp:lastModifiedBy/>
  <dcterms:modified xsi:type="dcterms:W3CDTF">2026-10-01T03:38:15Z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